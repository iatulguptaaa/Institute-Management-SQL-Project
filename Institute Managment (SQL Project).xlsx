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8D1B063B-8015-48BC-88D4-C3C4830AD0AA}" xr6:coauthVersionLast="47" xr6:coauthVersionMax="47" xr10:uidLastSave="{00000000-0000-0000-0000-000000000000}"/>
  <bookViews>
    <workbookView xWindow="11805" yWindow="480" windowWidth="8520" windowHeight="6060" firstSheet="8" activeTab="8" xr2:uid="{00000000-000D-0000-FFFF-FFFF00000000}"/>
  </bookViews>
  <sheets>
    <sheet name="Main Page" sheetId="10" r:id="rId1"/>
    <sheet name="DDL" sheetId="1" r:id="rId2"/>
    <sheet name="DML" sheetId="2" r:id="rId3"/>
    <sheet name="Constraint" sheetId="12" r:id="rId4"/>
    <sheet name="Query" sheetId="8" r:id="rId5"/>
    <sheet name="Sub Query" sheetId="9" r:id="rId6"/>
    <sheet name="Join" sheetId="3" r:id="rId7"/>
    <sheet name="Procedure&amp;View" sheetId="5" r:id="rId8"/>
    <sheet name="Transaction" sheetId="11" r:id="rId9"/>
    <sheet name="Index" sheetId="6" state="hidden" r:id="rId10"/>
    <sheet name="Trigger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0" l="1"/>
</calcChain>
</file>

<file path=xl/sharedStrings.xml><?xml version="1.0" encoding="utf-8"?>
<sst xmlns="http://schemas.openxmlformats.org/spreadsheetml/2006/main" count="403" uniqueCount="238">
  <si>
    <t>Create Table</t>
  </si>
  <si>
    <t>Table Name</t>
  </si>
  <si>
    <t>Fields</t>
  </si>
  <si>
    <t>ID</t>
  </si>
  <si>
    <t>Name</t>
  </si>
  <si>
    <t>Age</t>
  </si>
  <si>
    <t>Gender</t>
  </si>
  <si>
    <t>CourseID</t>
  </si>
  <si>
    <t>Data Type</t>
  </si>
  <si>
    <t>Key</t>
  </si>
  <si>
    <t>int</t>
  </si>
  <si>
    <t>Contraints</t>
  </si>
  <si>
    <t>Primary</t>
  </si>
  <si>
    <t>Foreign</t>
  </si>
  <si>
    <t>Char 50</t>
  </si>
  <si>
    <t>Age (10-150)</t>
  </si>
  <si>
    <t>Email</t>
  </si>
  <si>
    <t>Not Null</t>
  </si>
  <si>
    <t>Course</t>
  </si>
  <si>
    <t>Fee</t>
  </si>
  <si>
    <t>Unique</t>
  </si>
  <si>
    <t>Money</t>
  </si>
  <si>
    <t>Create a table tblStudent.</t>
  </si>
  <si>
    <t>Create a table tblCourse.</t>
  </si>
  <si>
    <t>Foregin Key in tblStudent</t>
  </si>
  <si>
    <t>Ques1</t>
  </si>
  <si>
    <t>Ques2</t>
  </si>
  <si>
    <t>Ques3</t>
  </si>
  <si>
    <t>tblStudent</t>
  </si>
  <si>
    <t>tblCourse</t>
  </si>
  <si>
    <t>Ques 1</t>
  </si>
  <si>
    <t>Ques 2</t>
  </si>
  <si>
    <t>Ques 3</t>
  </si>
  <si>
    <t>Ques 4</t>
  </si>
  <si>
    <t>Ques 5</t>
  </si>
  <si>
    <t>Ques 6</t>
  </si>
  <si>
    <t>Ques 7</t>
  </si>
  <si>
    <t>Ques 8</t>
  </si>
  <si>
    <t>Ques 9</t>
  </si>
  <si>
    <t>Ques 10</t>
  </si>
  <si>
    <t>tblCenter</t>
  </si>
  <si>
    <t>Center Name</t>
  </si>
  <si>
    <t>CenterID</t>
  </si>
  <si>
    <t>Reference tblCourse</t>
  </si>
  <si>
    <t>Reference tblCenter</t>
  </si>
  <si>
    <t>tblApply</t>
  </si>
  <si>
    <t>StudID</t>
  </si>
  <si>
    <t>AppID</t>
  </si>
  <si>
    <t>Reference tblStudent</t>
  </si>
  <si>
    <t>Total Fee collection from center1 and center2</t>
  </si>
  <si>
    <t>Location</t>
  </si>
  <si>
    <t>Display count center wise of male and  female</t>
  </si>
  <si>
    <t>Count Student apply for atleast 2 Course</t>
  </si>
  <si>
    <t>Course Name</t>
  </si>
  <si>
    <t>Excel</t>
  </si>
  <si>
    <t>VBA</t>
  </si>
  <si>
    <t>Payroll</t>
  </si>
  <si>
    <t>Recuriment</t>
  </si>
  <si>
    <t>GST</t>
  </si>
  <si>
    <t>Tally</t>
  </si>
  <si>
    <t>SQL/Access</t>
  </si>
  <si>
    <t>Python</t>
  </si>
  <si>
    <t>SAS</t>
  </si>
  <si>
    <t>Tablue</t>
  </si>
  <si>
    <t>Power BI</t>
  </si>
  <si>
    <t>How many stundent apply for HR,SQL/Access,VBA and GST with collection (fee)</t>
  </si>
  <si>
    <t>East Delhi</t>
  </si>
  <si>
    <t>West Delhi</t>
  </si>
  <si>
    <t>North Delh</t>
  </si>
  <si>
    <t>South Delhi</t>
  </si>
  <si>
    <t>Noida</t>
  </si>
  <si>
    <t>Gaziyabad</t>
  </si>
  <si>
    <t>Gurugao</t>
  </si>
  <si>
    <t>Display student name location wise in descending order</t>
  </si>
  <si>
    <t>Display student name, course name, center name only for Delhi candidate.</t>
  </si>
  <si>
    <t>Top 2 collection center</t>
  </si>
  <si>
    <t>GenderID</t>
  </si>
  <si>
    <t>Center</t>
  </si>
  <si>
    <t>Enter Center Name in tblCenter</t>
  </si>
  <si>
    <t>Enter Course Name and Fee tblCourse</t>
  </si>
  <si>
    <t>Gurugram</t>
  </si>
  <si>
    <t>Laxmi Nagar</t>
  </si>
  <si>
    <t>Noida Sec-2</t>
  </si>
  <si>
    <t>Gurugram Sec-16</t>
  </si>
  <si>
    <t>Update the Center Name in tblCenter</t>
  </si>
  <si>
    <t>tblGender</t>
  </si>
  <si>
    <t>Male</t>
  </si>
  <si>
    <t>Female</t>
  </si>
  <si>
    <t>Unknown</t>
  </si>
  <si>
    <t>Primary Key tblGender</t>
  </si>
  <si>
    <t>Enter Gender Name &amp; ID in tblGender</t>
  </si>
  <si>
    <t>Update</t>
  </si>
  <si>
    <t>Update the fee for Python =10000 and Power BI = 7000</t>
  </si>
  <si>
    <t>Display student name which applied for Excel,VBA from Center 1</t>
  </si>
  <si>
    <t>Collection of fee from location wise</t>
  </si>
  <si>
    <t>Ques 11</t>
  </si>
  <si>
    <t>Write a query find the name of student who applied more than 2 subject (using sub query)</t>
  </si>
  <si>
    <t>Ques 12</t>
  </si>
  <si>
    <t>Write a query find all student information who applied more than 2 subject only Male gender (using sub query)</t>
  </si>
  <si>
    <t>Write a query fetch all infromation from tblstudent which age 20 to 30 without using compare operator</t>
  </si>
  <si>
    <t>Find two most expensive course name and fee . (table name find ownself)</t>
  </si>
  <si>
    <t>Add column location on center table and add 10 center name. 5 center location will not repeat and 5 can repeat.</t>
  </si>
  <si>
    <t>Write a query fetch center name from which location count &gt;1</t>
  </si>
  <si>
    <t>Write a query fetch all information which student age not in 20,25,27,28</t>
  </si>
  <si>
    <t>Write a query fetch all infromation from tblstudent which email name have not gmail and age more then 25</t>
  </si>
  <si>
    <t>Write a query fetch all infromation from tblstudent which Loation Delhi,Noida,Gurugram and between 25 to 40</t>
  </si>
  <si>
    <t>Write a query count student location wise</t>
  </si>
  <si>
    <t>Ques 13</t>
  </si>
  <si>
    <t>Ques 14</t>
  </si>
  <si>
    <t>Max age Location wise and Gender Wise in descending order (Age)</t>
  </si>
  <si>
    <t>Location wise Min age only for Female</t>
  </si>
  <si>
    <t>Job Status</t>
  </si>
  <si>
    <t>Fresher</t>
  </si>
  <si>
    <t>Non-Function</t>
  </si>
  <si>
    <t>Employed</t>
  </si>
  <si>
    <t>Find Loation and count location wise only Non-Funtion student which location wise count &gt;2</t>
  </si>
  <si>
    <t>Create Input procedure Center Name  and Gender</t>
  </si>
  <si>
    <t>Create Procedure diplay Name, Age,Gender, Center</t>
  </si>
  <si>
    <t>Add Field Email on  Ques1</t>
  </si>
  <si>
    <t>Create Input Procedure diplay all column where GenderID =1</t>
  </si>
  <si>
    <t>Procedure</t>
  </si>
  <si>
    <t>View</t>
  </si>
  <si>
    <t>Display student Name, Course Name which appled for Excel,VBA</t>
  </si>
  <si>
    <t xml:space="preserve">Write a Sub Query display Name,  Age , City which are not in Noida and Lucknow using NOT IN </t>
  </si>
  <si>
    <t>Write a Sub Query display all infromation which student age first and second largest</t>
  </si>
  <si>
    <t>Fetech all infromation from student table which center Laxmi Nagar and location count greater then 2</t>
  </si>
  <si>
    <t>Display the bottom two age of student all infromation using subquery</t>
  </si>
  <si>
    <t>Write a query print all information which location count greater then 5</t>
  </si>
  <si>
    <t>Display the all information  which student does not have max age from tblstudent</t>
  </si>
  <si>
    <t>Display the all information  which student city name not  Gaziyabad and Nodia</t>
  </si>
  <si>
    <t>Sub Query</t>
  </si>
  <si>
    <t>Display the all information  which student city Delhi, Noida using Sub Query</t>
  </si>
  <si>
    <t>Write two query display all student infromation which agent age more then average age and less the average</t>
  </si>
  <si>
    <t>Update the city = Delhi which student id 5,6,7,8,9 using in</t>
  </si>
  <si>
    <t>Delhi</t>
  </si>
  <si>
    <t>CP</t>
  </si>
  <si>
    <t>Rohini</t>
  </si>
  <si>
    <t>Charbag</t>
  </si>
  <si>
    <t>Lucknow</t>
  </si>
  <si>
    <t>Malroad</t>
  </si>
  <si>
    <t>Deherdoon</t>
  </si>
  <si>
    <t>Pari Chock</t>
  </si>
  <si>
    <t>Chandighar Sec 7</t>
  </si>
  <si>
    <t>Chandighar</t>
  </si>
  <si>
    <t>Naddi</t>
  </si>
  <si>
    <t>Dharmshala</t>
  </si>
  <si>
    <t>Designe (Database and Table)</t>
  </si>
  <si>
    <t>Data Entry (Inser,Update Delete)</t>
  </si>
  <si>
    <t>Query (Data Fetching)</t>
  </si>
  <si>
    <t>Sub Query (On Single table and Double table)</t>
  </si>
  <si>
    <t>S No</t>
  </si>
  <si>
    <t>No Of Question</t>
  </si>
  <si>
    <t xml:space="preserve">Total </t>
  </si>
  <si>
    <t>Topic</t>
  </si>
  <si>
    <t>Joins (Main Join, Advanced Join,Self Join)</t>
  </si>
  <si>
    <t>Procedure and View</t>
  </si>
  <si>
    <t>Trigger</t>
  </si>
  <si>
    <t>Create Procedure display name, course name applied and total fee sumbit</t>
  </si>
  <si>
    <t>Center Wise total student and location name and location count</t>
  </si>
  <si>
    <t>Count</t>
  </si>
  <si>
    <t>Center Delhi</t>
  </si>
  <si>
    <t>Muzaffer Nagar</t>
  </si>
  <si>
    <t>Create View Name,Gender, Location, Center</t>
  </si>
  <si>
    <t>Create View Center wise  student count</t>
  </si>
  <si>
    <t xml:space="preserve">Center wise student fee count </t>
  </si>
  <si>
    <t>Location wise student Count</t>
  </si>
  <si>
    <t>Add column  Name= Status</t>
  </si>
  <si>
    <t>Update status as per the criteria Start , Running, Not coming, Completed</t>
  </si>
  <si>
    <t>SQL Project(Institute Management)</t>
  </si>
  <si>
    <t>Create Insert Procedure on tblStudent insert all field values</t>
  </si>
  <si>
    <t>Create Update Procedure on tblCenter updated Nadi to Mcleodganj</t>
  </si>
  <si>
    <t>Create output Parameter total Salary for City</t>
  </si>
  <si>
    <t>Create a Optional parameter Procedure</t>
  </si>
  <si>
    <t>Create an Encrypted Procedure (Any Procedure)</t>
  </si>
  <si>
    <t>Create View name,Gender, Location, Center and Job Status with Sceama binding</t>
  </si>
  <si>
    <t>Create a Multiple optional parameter Procedure Name, Salary, Course for all information of tblStudent</t>
  </si>
  <si>
    <t>Constraints</t>
  </si>
  <si>
    <t xml:space="preserve"> </t>
  </si>
  <si>
    <t>Enter 100 data for apply for the Course</t>
  </si>
  <si>
    <t xml:space="preserve">Transaction </t>
  </si>
  <si>
    <t>Write a transaction query for update. Any other user cannot see the uncommited data on tblStudent</t>
  </si>
  <si>
    <t>Create transaction for insert 10 value. If we get any error then roll back the transaction else save all transaction on apply table</t>
  </si>
  <si>
    <t>Write a query other user can see the uncommited data of tblStudent</t>
  </si>
  <si>
    <t>Index</t>
  </si>
  <si>
    <t>Joins</t>
  </si>
  <si>
    <t>Query</t>
  </si>
  <si>
    <t>Data Defination Language</t>
  </si>
  <si>
    <t>Data Manipulation Language</t>
  </si>
  <si>
    <t xml:space="preserve">Trigger </t>
  </si>
  <si>
    <t>Create a insert Trigger for tblStudent</t>
  </si>
  <si>
    <t>Create a update Trigger for tblStudent</t>
  </si>
  <si>
    <t>Create a delete Trigger for tblStudent</t>
  </si>
  <si>
    <t xml:space="preserve">Create a delete Trigger for tblApply </t>
  </si>
  <si>
    <t>Create a insteed of delete Trigger for tblCourse</t>
  </si>
  <si>
    <t>Insert 100 Values in tblStudent</t>
  </si>
  <si>
    <t>Tableau</t>
  </si>
  <si>
    <t>2-3</t>
  </si>
  <si>
    <t>4-5</t>
  </si>
  <si>
    <t>Table 1</t>
  </si>
  <si>
    <t>Table 2</t>
  </si>
  <si>
    <t>Table 3</t>
  </si>
  <si>
    <t>varchar =100</t>
  </si>
  <si>
    <t>Constraint</t>
  </si>
  <si>
    <t>Add Constraint on tblStudent give Default value "Delhi" on  Location</t>
  </si>
  <si>
    <t>Add Constraint on tblCourse give course should be Not Null</t>
  </si>
  <si>
    <t>Ques4</t>
  </si>
  <si>
    <t>Apply castcade referentian intigrity Null on tblApply CourseID</t>
  </si>
  <si>
    <t>Ques5</t>
  </si>
  <si>
    <t>Ques6</t>
  </si>
  <si>
    <t>Add Constraint tblCourse Fee should be greater then equals to 5000</t>
  </si>
  <si>
    <t>Add Constraint Not Null on tblCenter table on Center Field</t>
  </si>
  <si>
    <t xml:space="preserve">Add Constraint Default 1 CenterID on tblStudent </t>
  </si>
  <si>
    <t>Delete  email id of student id 10 to 15 (if column have constraint then drop the constraint)</t>
  </si>
  <si>
    <t>R</t>
  </si>
  <si>
    <t>Update the fee for Tableau =7000 and R = 10000</t>
  </si>
  <si>
    <t>Add then Center Name "Online"</t>
  </si>
  <si>
    <t>Query Ques 3</t>
  </si>
  <si>
    <t>Write a query fetch all infromation from tblstudent which email name have gmail and name start with K,N, S</t>
  </si>
  <si>
    <t>Job &amp; Location wise count of Student</t>
  </si>
  <si>
    <t>Ques 15</t>
  </si>
  <si>
    <t>Job &amp; Location wise Min &amp; Max age of Student</t>
  </si>
  <si>
    <t>Ques 16</t>
  </si>
  <si>
    <t>Ques 18</t>
  </si>
  <si>
    <t>Ques 17</t>
  </si>
  <si>
    <t>Min Age Job Wise only for Non-Functional Student</t>
  </si>
  <si>
    <t>Center Wise Student Count</t>
  </si>
  <si>
    <t>Ques 19</t>
  </si>
  <si>
    <t>Location Wise Name in Decending Order for all Data</t>
  </si>
  <si>
    <t>Ques 20</t>
  </si>
  <si>
    <t>Fetch All Data which have not @ on email</t>
  </si>
  <si>
    <t>Temp Table</t>
  </si>
  <si>
    <t>Create  Local temp table of student</t>
  </si>
  <si>
    <t>Create  Global temp table of Student delete Non function Student</t>
  </si>
  <si>
    <t>Transaction, Temp tabke &amp; Index</t>
  </si>
  <si>
    <t>Write a query fetch all information from tblstudent which name start with A,K,N,V .</t>
  </si>
  <si>
    <t>Create a Database IMS</t>
  </si>
  <si>
    <t>Write a query fetch name and email of center 101</t>
  </si>
  <si>
    <t>C:\Users\atuly\OneDrive\Desktop\SQL PROJECT IMS.sql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</si>
</sst>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43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gradientFill degree="90">
        <stop position="0">
          <color theme="0"/>
        </stop>
        <stop position="1">
          <color theme="4" tint="-0.49803155613879818"/>
        </stop>
      </gradient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4" xfId="0" applyFont="1" applyBorder="1"/>
    <xf numFmtId="0" fontId="0" fillId="0" borderId="4" xfId="0" applyBorder="1"/>
    <xf numFmtId="0" fontId="0" fillId="0" borderId="2" xfId="0" applyBorder="1"/>
    <xf numFmtId="0" fontId="1" fillId="0" borderId="5" xfId="0" applyFont="1" applyBorder="1"/>
    <xf numFmtId="0" fontId="0" fillId="0" borderId="0" xfId="0" applyProtection="1">
      <protection locked="0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5" borderId="3" xfId="0" applyFill="1" applyBorder="1"/>
    <xf numFmtId="0" fontId="1" fillId="0" borderId="1" xfId="0" applyFont="1" applyBorder="1" applyAlignment="1">
      <alignment wrapText="1"/>
    </xf>
    <xf numFmtId="0" fontId="0" fillId="0" borderId="20" xfId="0" applyBorder="1" applyAlignment="1">
      <alignment horizontal="center"/>
    </xf>
    <xf numFmtId="0" fontId="8" fillId="6" borderId="5" xfId="0" applyFont="1" applyFill="1" applyBorder="1"/>
    <xf numFmtId="0" fontId="9" fillId="6" borderId="19" xfId="0" applyFont="1" applyFill="1" applyBorder="1" applyAlignment="1">
      <alignment horizontal="center"/>
    </xf>
    <xf numFmtId="0" fontId="1" fillId="0" borderId="15" xfId="0" applyFont="1" applyBorder="1"/>
    <xf numFmtId="0" fontId="1" fillId="0" borderId="21" xfId="0" applyFont="1" applyBorder="1"/>
    <xf numFmtId="0" fontId="1" fillId="0" borderId="22" xfId="0" applyFont="1" applyBorder="1"/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0" xfId="0" applyBorder="1"/>
    <xf numFmtId="0" fontId="0" fillId="0" borderId="25" xfId="0" applyBorder="1"/>
    <xf numFmtId="0" fontId="0" fillId="0" borderId="26" xfId="0" applyBorder="1"/>
    <xf numFmtId="16" fontId="0" fillId="0" borderId="1" xfId="0" quotePrefix="1" applyNumberFormat="1" applyBorder="1"/>
    <xf numFmtId="0" fontId="0" fillId="0" borderId="1" xfId="0" quotePrefix="1" applyBorder="1"/>
    <xf numFmtId="0" fontId="1" fillId="0" borderId="2" xfId="0" applyFont="1" applyBorder="1"/>
    <xf numFmtId="0" fontId="0" fillId="3" borderId="5" xfId="0" applyFill="1" applyBorder="1"/>
    <xf numFmtId="0" fontId="0" fillId="5" borderId="17" xfId="0" applyFill="1" applyBorder="1"/>
    <xf numFmtId="0" fontId="0" fillId="3" borderId="17" xfId="0" applyFill="1" applyBorder="1"/>
    <xf numFmtId="0" fontId="12" fillId="8" borderId="5" xfId="0" applyFont="1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10" fillId="2" borderId="6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2" fillId="9" borderId="5" xfId="0" applyFont="1" applyFill="1" applyBorder="1"/>
    <xf numFmtId="0" fontId="1" fillId="9" borderId="5" xfId="0" applyFont="1" applyFill="1" applyBorder="1"/>
    <xf numFmtId="0" fontId="1" fillId="10" borderId="0" xfId="0" applyFont="1" applyFill="1"/>
    <xf numFmtId="0" fontId="0" fillId="10" borderId="0" xfId="0" applyFill="1"/>
    <xf numFmtId="0" fontId="0" fillId="10" borderId="14" xfId="0" applyFill="1" applyBorder="1" applyAlignment="1">
      <alignment horizontal="left"/>
    </xf>
    <xf numFmtId="0" fontId="0" fillId="10" borderId="16" xfId="0" applyFill="1" applyBorder="1" applyAlignment="1">
      <alignment horizontal="left"/>
    </xf>
    <xf numFmtId="0" fontId="0" fillId="10" borderId="17" xfId="0" applyFill="1" applyBorder="1" applyAlignment="1">
      <alignment horizontal="left"/>
    </xf>
    <xf numFmtId="0" fontId="0" fillId="10" borderId="1" xfId="0" applyFill="1" applyBorder="1"/>
    <xf numFmtId="0" fontId="0" fillId="10" borderId="15" xfId="0" applyFill="1" applyBorder="1"/>
    <xf numFmtId="0" fontId="0" fillId="10" borderId="21" xfId="0" applyFill="1" applyBorder="1"/>
    <xf numFmtId="0" fontId="1" fillId="10" borderId="21" xfId="0" applyFont="1" applyFill="1" applyBorder="1"/>
    <xf numFmtId="0" fontId="0" fillId="10" borderId="22" xfId="0" applyFill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06CFB3F0-E171-481D-B37D-F12832310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3"/>
  <sheetViews>
    <sheetView showGridLines="0" zoomScaleNormal="100" workbookViewId="0">
      <selection activeCell="N10" sqref="N10"/>
    </sheetView>
  </sheetViews>
  <sheetFormatPr defaultColWidth="9.140625" defaultRowHeight="15" x14ac:dyDescent="0.25"/>
  <cols>
    <col min="1" max="10" width="9.140625" style="9"/>
    <col min="11" max="11" width="6.5703125" style="9" customWidth="1"/>
    <col min="12" max="12" width="22.140625" style="9" customWidth="1"/>
    <col min="13" max="16384" width="9.140625" style="9"/>
  </cols>
  <sheetData>
    <row r="1" spans="2:15" ht="15.75" thickBot="1" x14ac:dyDescent="0.3"/>
    <row r="2" spans="2:15" x14ac:dyDescent="0.25">
      <c r="B2" s="50" t="s">
        <v>168</v>
      </c>
      <c r="C2" s="51"/>
      <c r="D2" s="51"/>
      <c r="E2" s="51"/>
      <c r="F2" s="51"/>
      <c r="G2" s="51"/>
      <c r="H2" s="51"/>
      <c r="I2" s="51"/>
      <c r="J2" s="51"/>
      <c r="K2" s="51"/>
      <c r="L2" s="52"/>
      <c r="M2"/>
      <c r="N2"/>
      <c r="O2"/>
    </row>
    <row r="3" spans="2:15" x14ac:dyDescent="0.25">
      <c r="B3" s="53"/>
      <c r="C3" s="54"/>
      <c r="D3" s="54"/>
      <c r="E3" s="54"/>
      <c r="F3" s="54"/>
      <c r="G3" s="54"/>
      <c r="H3" s="54"/>
      <c r="I3" s="54"/>
      <c r="J3" s="54"/>
      <c r="K3" s="54"/>
      <c r="L3" s="55"/>
      <c r="M3"/>
      <c r="N3"/>
      <c r="O3"/>
    </row>
    <row r="4" spans="2:15" ht="15.75" thickBot="1" x14ac:dyDescent="0.3">
      <c r="B4" s="56"/>
      <c r="C4" s="57"/>
      <c r="D4" s="57"/>
      <c r="E4" s="57"/>
      <c r="F4" s="57"/>
      <c r="G4" s="57"/>
      <c r="H4" s="57"/>
      <c r="I4" s="57"/>
      <c r="J4" s="57"/>
      <c r="K4" s="57"/>
      <c r="L4" s="58"/>
      <c r="M4"/>
      <c r="N4"/>
      <c r="O4"/>
    </row>
    <row r="5" spans="2:15" ht="3.75" customHeight="1" thickBot="1" x14ac:dyDescent="0.3"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2:15" ht="29.25" customHeight="1" thickBot="1" x14ac:dyDescent="0.45">
      <c r="B6" s="22" t="s">
        <v>150</v>
      </c>
      <c r="C6" s="59" t="s">
        <v>153</v>
      </c>
      <c r="D6" s="60"/>
      <c r="E6" s="60"/>
      <c r="F6" s="60"/>
      <c r="G6" s="60"/>
      <c r="H6" s="60"/>
      <c r="I6" s="60"/>
      <c r="J6" s="60"/>
      <c r="K6" s="61"/>
      <c r="L6" s="23" t="s">
        <v>151</v>
      </c>
      <c r="M6"/>
      <c r="N6"/>
      <c r="O6"/>
    </row>
    <row r="7" spans="2:15" ht="29.25" customHeight="1" thickBot="1" x14ac:dyDescent="0.3">
      <c r="B7" s="12">
        <v>1</v>
      </c>
      <c r="C7" s="62" t="s">
        <v>146</v>
      </c>
      <c r="D7" s="63"/>
      <c r="E7" s="63"/>
      <c r="F7" s="63"/>
      <c r="G7" s="63"/>
      <c r="H7" s="63"/>
      <c r="I7" s="63"/>
      <c r="J7" s="63"/>
      <c r="K7" s="64"/>
      <c r="L7" s="11">
        <v>6</v>
      </c>
      <c r="M7"/>
      <c r="N7"/>
      <c r="O7"/>
    </row>
    <row r="8" spans="2:15" ht="29.25" customHeight="1" thickBot="1" x14ac:dyDescent="0.3">
      <c r="B8" s="12">
        <v>2</v>
      </c>
      <c r="C8" s="62" t="s">
        <v>147</v>
      </c>
      <c r="D8" s="63"/>
      <c r="E8" s="63"/>
      <c r="F8" s="63"/>
      <c r="G8" s="63"/>
      <c r="H8" s="63"/>
      <c r="I8" s="63"/>
      <c r="J8" s="63"/>
      <c r="K8" s="64"/>
      <c r="L8" s="11">
        <v>10</v>
      </c>
      <c r="M8"/>
      <c r="N8"/>
      <c r="O8"/>
    </row>
    <row r="9" spans="2:15" ht="29.25" customHeight="1" thickBot="1" x14ac:dyDescent="0.3">
      <c r="B9" s="12">
        <v>3</v>
      </c>
      <c r="C9" s="62" t="s">
        <v>176</v>
      </c>
      <c r="D9" s="63"/>
      <c r="E9" s="63"/>
      <c r="F9" s="63"/>
      <c r="G9" s="63"/>
      <c r="H9" s="63"/>
      <c r="I9" s="63"/>
      <c r="J9" s="63"/>
      <c r="K9" s="64"/>
      <c r="L9" s="11">
        <v>8</v>
      </c>
      <c r="M9"/>
      <c r="N9"/>
      <c r="O9"/>
    </row>
    <row r="10" spans="2:15" ht="29.25" customHeight="1" thickBot="1" x14ac:dyDescent="0.3">
      <c r="B10" s="12">
        <v>4</v>
      </c>
      <c r="C10" s="62" t="s">
        <v>148</v>
      </c>
      <c r="D10" s="63"/>
      <c r="E10" s="63"/>
      <c r="F10" s="63"/>
      <c r="G10" s="63"/>
      <c r="H10" s="63"/>
      <c r="I10" s="63"/>
      <c r="J10" s="63"/>
      <c r="K10" s="64"/>
      <c r="L10" s="11">
        <v>20</v>
      </c>
      <c r="M10"/>
      <c r="N10"/>
      <c r="O10"/>
    </row>
    <row r="11" spans="2:15" ht="29.25" customHeight="1" thickBot="1" x14ac:dyDescent="0.3">
      <c r="B11" s="12">
        <v>5</v>
      </c>
      <c r="C11" s="62" t="s">
        <v>149</v>
      </c>
      <c r="D11" s="63"/>
      <c r="E11" s="63"/>
      <c r="F11" s="63"/>
      <c r="G11" s="63"/>
      <c r="H11" s="63"/>
      <c r="I11" s="63"/>
      <c r="J11" s="63"/>
      <c r="K11" s="64"/>
      <c r="L11" s="11">
        <v>10</v>
      </c>
      <c r="M11"/>
      <c r="N11"/>
      <c r="O11"/>
    </row>
    <row r="12" spans="2:15" ht="29.25" customHeight="1" thickBot="1" x14ac:dyDescent="0.3">
      <c r="B12" s="12">
        <v>6</v>
      </c>
      <c r="C12" s="62" t="s">
        <v>154</v>
      </c>
      <c r="D12" s="63"/>
      <c r="E12" s="63"/>
      <c r="F12" s="63"/>
      <c r="G12" s="63"/>
      <c r="H12" s="63"/>
      <c r="I12" s="63"/>
      <c r="J12" s="63"/>
      <c r="K12" s="64"/>
      <c r="L12" s="11">
        <v>12</v>
      </c>
      <c r="M12"/>
      <c r="N12"/>
      <c r="O12"/>
    </row>
    <row r="13" spans="2:15" ht="29.25" customHeight="1" thickBot="1" x14ac:dyDescent="0.3">
      <c r="B13" s="12">
        <v>7</v>
      </c>
      <c r="C13" s="62" t="s">
        <v>155</v>
      </c>
      <c r="D13" s="63"/>
      <c r="E13" s="63"/>
      <c r="F13" s="63"/>
      <c r="G13" s="63"/>
      <c r="H13" s="63"/>
      <c r="I13" s="63"/>
      <c r="J13" s="63"/>
      <c r="K13" s="64"/>
      <c r="L13" s="11">
        <v>19</v>
      </c>
      <c r="M13"/>
      <c r="N13"/>
      <c r="O13"/>
    </row>
    <row r="14" spans="2:15" ht="29.25" customHeight="1" thickBot="1" x14ac:dyDescent="0.3">
      <c r="B14" s="12">
        <v>8</v>
      </c>
      <c r="C14" s="62" t="s">
        <v>233</v>
      </c>
      <c r="D14" s="63"/>
      <c r="E14" s="63"/>
      <c r="F14" s="63"/>
      <c r="G14" s="63"/>
      <c r="H14" s="63"/>
      <c r="I14" s="63"/>
      <c r="J14" s="63"/>
      <c r="K14" s="64"/>
      <c r="L14" s="11">
        <v>5</v>
      </c>
      <c r="M14"/>
      <c r="N14"/>
      <c r="O14"/>
    </row>
    <row r="15" spans="2:15" ht="29.25" customHeight="1" thickBot="1" x14ac:dyDescent="0.3">
      <c r="B15" s="12">
        <v>9</v>
      </c>
      <c r="C15" s="62" t="s">
        <v>156</v>
      </c>
      <c r="D15" s="63"/>
      <c r="E15" s="63"/>
      <c r="F15" s="63"/>
      <c r="G15" s="63"/>
      <c r="H15" s="63"/>
      <c r="I15" s="63"/>
      <c r="J15" s="63"/>
      <c r="K15" s="64"/>
      <c r="L15" s="11">
        <v>5</v>
      </c>
      <c r="M15"/>
      <c r="N15"/>
      <c r="O15"/>
    </row>
    <row r="16" spans="2:15" ht="15.75" thickBot="1" x14ac:dyDescent="0.3">
      <c r="B16" s="10"/>
      <c r="C16" s="65" t="s">
        <v>152</v>
      </c>
      <c r="D16" s="66"/>
      <c r="E16" s="66"/>
      <c r="F16" s="66"/>
      <c r="G16" s="66"/>
      <c r="H16" s="66"/>
      <c r="I16" s="66"/>
      <c r="J16" s="66"/>
      <c r="K16" s="67"/>
      <c r="L16" s="21">
        <f>SUM(L7:L15)</f>
        <v>95</v>
      </c>
      <c r="M16"/>
      <c r="N16"/>
      <c r="O16"/>
    </row>
    <row r="17" spans="2:15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2:15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2:15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2:15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2:15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2:15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</sheetData>
  <mergeCells count="12">
    <mergeCell ref="C16:K16"/>
    <mergeCell ref="C11:K11"/>
    <mergeCell ref="C12:K12"/>
    <mergeCell ref="C13:K13"/>
    <mergeCell ref="C15:K15"/>
    <mergeCell ref="C14:K14"/>
    <mergeCell ref="B2:L4"/>
    <mergeCell ref="C6:K6"/>
    <mergeCell ref="C7:K7"/>
    <mergeCell ref="C8:K8"/>
    <mergeCell ref="C10:K10"/>
    <mergeCell ref="C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H61"/>
  <sheetViews>
    <sheetView showGridLines="0" topLeftCell="A46" zoomScale="85" zoomScaleNormal="85" workbookViewId="0">
      <selection activeCell="I11" sqref="I11"/>
    </sheetView>
  </sheetViews>
  <sheetFormatPr defaultRowHeight="15" x14ac:dyDescent="0.25"/>
  <cols>
    <col min="2" max="2" width="31.42578125" customWidth="1"/>
    <col min="3" max="3" width="23.85546875" bestFit="1" customWidth="1"/>
    <col min="4" max="4" width="11.28515625" bestFit="1" customWidth="1"/>
    <col min="5" max="5" width="19.42578125" bestFit="1" customWidth="1"/>
    <col min="6" max="6" width="1.42578125" customWidth="1"/>
    <col min="7" max="7" width="34.7109375" bestFit="1" customWidth="1"/>
    <col min="8" max="8" width="23.85546875" bestFit="1" customWidth="1"/>
    <col min="9" max="9" width="20.28515625" bestFit="1" customWidth="1"/>
    <col min="10" max="10" width="16.140625" customWidth="1"/>
    <col min="11" max="11" width="12.7109375" bestFit="1" customWidth="1"/>
    <col min="12" max="12" width="10.85546875" bestFit="1" customWidth="1"/>
    <col min="13" max="13" width="16.42578125" customWidth="1"/>
    <col min="14" max="14" width="19.28515625" customWidth="1"/>
  </cols>
  <sheetData>
    <row r="1" spans="1:8" ht="15.75" thickBot="1" x14ac:dyDescent="0.3"/>
    <row r="2" spans="1:8" x14ac:dyDescent="0.25">
      <c r="B2" s="73" t="s">
        <v>186</v>
      </c>
      <c r="C2" s="74"/>
      <c r="D2" s="74"/>
      <c r="E2" s="74"/>
      <c r="F2" s="74"/>
      <c r="G2" s="74"/>
      <c r="H2" s="75"/>
    </row>
    <row r="3" spans="1:8" x14ac:dyDescent="0.25">
      <c r="B3" s="76"/>
      <c r="C3" s="77"/>
      <c r="D3" s="77"/>
      <c r="E3" s="77"/>
      <c r="F3" s="77"/>
      <c r="G3" s="77"/>
      <c r="H3" s="78"/>
    </row>
    <row r="4" spans="1:8" x14ac:dyDescent="0.25">
      <c r="B4" s="76"/>
      <c r="C4" s="77"/>
      <c r="D4" s="77"/>
      <c r="E4" s="77"/>
      <c r="F4" s="77"/>
      <c r="G4" s="77"/>
      <c r="H4" s="78"/>
    </row>
    <row r="5" spans="1:8" ht="15.75" thickBot="1" x14ac:dyDescent="0.3">
      <c r="B5" s="79"/>
      <c r="C5" s="80"/>
      <c r="D5" s="80"/>
      <c r="E5" s="80"/>
      <c r="F5" s="80"/>
      <c r="G5" s="80"/>
      <c r="H5" s="81"/>
    </row>
    <row r="6" spans="1:8" ht="15" customHeight="1" thickBot="1" x14ac:dyDescent="0.3">
      <c r="D6" s="1"/>
      <c r="E6" s="1"/>
      <c r="F6" s="1"/>
    </row>
    <row r="7" spans="1:8" ht="15" customHeight="1" thickBot="1" x14ac:dyDescent="0.3">
      <c r="A7" s="41" t="s">
        <v>25</v>
      </c>
      <c r="B7" s="43" t="s">
        <v>235</v>
      </c>
      <c r="D7" s="1"/>
      <c r="E7" s="1"/>
      <c r="F7" s="1"/>
      <c r="H7" s="14" t="s">
        <v>198</v>
      </c>
    </row>
    <row r="8" spans="1:8" ht="15.75" thickBot="1" x14ac:dyDescent="0.3">
      <c r="A8" s="41" t="s">
        <v>26</v>
      </c>
      <c r="B8" s="42" t="s">
        <v>22</v>
      </c>
      <c r="H8" s="16" t="s">
        <v>199</v>
      </c>
    </row>
    <row r="9" spans="1:8" ht="15.75" thickBot="1" x14ac:dyDescent="0.3">
      <c r="H9" s="18" t="s">
        <v>200</v>
      </c>
    </row>
    <row r="10" spans="1:8" ht="15" customHeight="1" thickBot="1" x14ac:dyDescent="0.3">
      <c r="B10" s="82" t="s">
        <v>0</v>
      </c>
      <c r="C10" s="82"/>
      <c r="D10" s="82"/>
      <c r="E10" s="16"/>
      <c r="G10" s="104"/>
    </row>
    <row r="11" spans="1:8" ht="15" customHeight="1" thickBot="1" x14ac:dyDescent="0.3">
      <c r="B11" s="82"/>
      <c r="C11" s="82"/>
      <c r="D11" s="82"/>
      <c r="E11" s="16"/>
    </row>
    <row r="12" spans="1:8" ht="15.75" customHeight="1" thickBot="1" x14ac:dyDescent="0.3">
      <c r="B12" s="15" t="s">
        <v>1</v>
      </c>
      <c r="C12" s="15" t="s">
        <v>28</v>
      </c>
      <c r="D12" s="83" t="s">
        <v>9</v>
      </c>
      <c r="E12" s="84" t="s">
        <v>11</v>
      </c>
      <c r="G12" s="105"/>
    </row>
    <row r="13" spans="1:8" ht="15.75" customHeight="1" x14ac:dyDescent="0.25">
      <c r="B13" s="15" t="s">
        <v>2</v>
      </c>
      <c r="C13" s="15" t="s">
        <v>8</v>
      </c>
      <c r="D13" s="83"/>
      <c r="E13" s="84"/>
    </row>
    <row r="14" spans="1:8" x14ac:dyDescent="0.25">
      <c r="B14" s="16" t="s">
        <v>3</v>
      </c>
      <c r="C14" s="16" t="s">
        <v>10</v>
      </c>
      <c r="D14" s="16" t="s">
        <v>12</v>
      </c>
      <c r="E14" s="16" t="s">
        <v>17</v>
      </c>
      <c r="G14" s="3" t="s">
        <v>89</v>
      </c>
      <c r="H14" s="3" t="s">
        <v>24</v>
      </c>
    </row>
    <row r="15" spans="1:8" x14ac:dyDescent="0.25">
      <c r="B15" s="16" t="s">
        <v>4</v>
      </c>
      <c r="C15" s="16" t="s">
        <v>14</v>
      </c>
      <c r="D15" s="16"/>
      <c r="E15" s="16" t="s">
        <v>17</v>
      </c>
      <c r="G15" s="2" t="s">
        <v>3</v>
      </c>
      <c r="H15" s="2" t="s">
        <v>76</v>
      </c>
    </row>
    <row r="16" spans="1:8" x14ac:dyDescent="0.25">
      <c r="B16" s="16" t="s">
        <v>5</v>
      </c>
      <c r="C16" s="16" t="s">
        <v>10</v>
      </c>
      <c r="D16" s="16"/>
      <c r="E16" s="16" t="s">
        <v>15</v>
      </c>
    </row>
    <row r="17" spans="1:8" x14ac:dyDescent="0.25">
      <c r="B17" s="16" t="s">
        <v>76</v>
      </c>
      <c r="C17" s="16" t="s">
        <v>10</v>
      </c>
      <c r="D17" s="16"/>
      <c r="E17" s="16"/>
    </row>
    <row r="18" spans="1:8" x14ac:dyDescent="0.25">
      <c r="B18" s="16" t="s">
        <v>16</v>
      </c>
      <c r="C18" s="16" t="s">
        <v>201</v>
      </c>
      <c r="D18" s="16" t="s">
        <v>20</v>
      </c>
      <c r="E18" s="16"/>
    </row>
    <row r="19" spans="1:8" x14ac:dyDescent="0.25">
      <c r="B19" s="16" t="s">
        <v>50</v>
      </c>
      <c r="C19" s="16" t="s">
        <v>14</v>
      </c>
      <c r="D19" s="16"/>
      <c r="E19" s="16"/>
    </row>
    <row r="20" spans="1:8" x14ac:dyDescent="0.25">
      <c r="B20" s="16" t="s">
        <v>111</v>
      </c>
      <c r="C20" s="16" t="s">
        <v>14</v>
      </c>
      <c r="D20" s="16"/>
      <c r="E20" s="16"/>
    </row>
    <row r="21" spans="1:8" x14ac:dyDescent="0.25">
      <c r="B21" s="16" t="s">
        <v>42</v>
      </c>
      <c r="C21" s="16" t="s">
        <v>10</v>
      </c>
      <c r="D21" s="16" t="s">
        <v>13</v>
      </c>
      <c r="E21" s="16" t="s">
        <v>44</v>
      </c>
    </row>
    <row r="22" spans="1:8" ht="15" customHeight="1" thickBot="1" x14ac:dyDescent="0.3"/>
    <row r="23" spans="1:8" ht="15" customHeight="1" thickBot="1" x14ac:dyDescent="0.3">
      <c r="A23" s="41" t="s">
        <v>27</v>
      </c>
      <c r="B23" s="43" t="s">
        <v>23</v>
      </c>
    </row>
    <row r="25" spans="1:8" x14ac:dyDescent="0.25">
      <c r="B25" s="85" t="s">
        <v>0</v>
      </c>
      <c r="C25" s="85"/>
      <c r="D25" s="85"/>
      <c r="E25" s="14"/>
    </row>
    <row r="26" spans="1:8" x14ac:dyDescent="0.25">
      <c r="B26" s="85"/>
      <c r="C26" s="85"/>
      <c r="D26" s="85"/>
      <c r="E26" s="14"/>
    </row>
    <row r="27" spans="1:8" ht="15.75" x14ac:dyDescent="0.25">
      <c r="B27" s="13" t="s">
        <v>1</v>
      </c>
      <c r="C27" s="13" t="s">
        <v>29</v>
      </c>
      <c r="D27" s="68" t="s">
        <v>9</v>
      </c>
      <c r="E27" s="69" t="s">
        <v>11</v>
      </c>
    </row>
    <row r="28" spans="1:8" ht="15.75" x14ac:dyDescent="0.25">
      <c r="B28" s="13" t="s">
        <v>2</v>
      </c>
      <c r="C28" s="13" t="s">
        <v>8</v>
      </c>
      <c r="D28" s="68"/>
      <c r="E28" s="69"/>
    </row>
    <row r="29" spans="1:8" x14ac:dyDescent="0.25">
      <c r="B29" s="14" t="s">
        <v>3</v>
      </c>
      <c r="C29" s="14" t="s">
        <v>10</v>
      </c>
      <c r="D29" s="14" t="s">
        <v>12</v>
      </c>
      <c r="E29" s="14"/>
      <c r="G29" s="35" t="s">
        <v>196</v>
      </c>
      <c r="H29" s="2" t="s">
        <v>195</v>
      </c>
    </row>
    <row r="30" spans="1:8" x14ac:dyDescent="0.25">
      <c r="B30" s="14" t="s">
        <v>18</v>
      </c>
      <c r="C30" s="14" t="s">
        <v>14</v>
      </c>
      <c r="D30" s="14"/>
      <c r="E30" s="14"/>
      <c r="G30" s="36" t="s">
        <v>197</v>
      </c>
      <c r="H30" s="2" t="s">
        <v>64</v>
      </c>
    </row>
    <row r="31" spans="1:8" x14ac:dyDescent="0.25">
      <c r="B31" s="14" t="s">
        <v>19</v>
      </c>
      <c r="C31" s="14" t="s">
        <v>21</v>
      </c>
      <c r="D31" s="14"/>
      <c r="E31" s="14"/>
    </row>
    <row r="32" spans="1:8" ht="15.75" thickBot="1" x14ac:dyDescent="0.3"/>
    <row r="33" spans="1:5" ht="15.75" thickBot="1" x14ac:dyDescent="0.3">
      <c r="A33" s="41" t="s">
        <v>33</v>
      </c>
      <c r="B33" s="40" t="s">
        <v>40</v>
      </c>
    </row>
    <row r="35" spans="1:5" x14ac:dyDescent="0.25">
      <c r="B35" s="85" t="s">
        <v>0</v>
      </c>
      <c r="C35" s="85"/>
      <c r="D35" s="85"/>
      <c r="E35" s="14"/>
    </row>
    <row r="36" spans="1:5" x14ac:dyDescent="0.25">
      <c r="B36" s="85"/>
      <c r="C36" s="85"/>
      <c r="D36" s="85"/>
      <c r="E36" s="14"/>
    </row>
    <row r="37" spans="1:5" ht="15" customHeight="1" x14ac:dyDescent="0.25">
      <c r="B37" s="13" t="s">
        <v>1</v>
      </c>
      <c r="C37" s="13" t="s">
        <v>40</v>
      </c>
      <c r="D37" s="68" t="s">
        <v>9</v>
      </c>
      <c r="E37" s="69" t="s">
        <v>11</v>
      </c>
    </row>
    <row r="38" spans="1:5" ht="15" customHeight="1" x14ac:dyDescent="0.25">
      <c r="B38" s="13" t="s">
        <v>2</v>
      </c>
      <c r="C38" s="13" t="s">
        <v>8</v>
      </c>
      <c r="D38" s="68"/>
      <c r="E38" s="69"/>
    </row>
    <row r="39" spans="1:5" x14ac:dyDescent="0.25">
      <c r="B39" s="14" t="s">
        <v>3</v>
      </c>
      <c r="C39" s="14" t="s">
        <v>10</v>
      </c>
      <c r="D39" s="14" t="s">
        <v>12</v>
      </c>
      <c r="E39" s="14"/>
    </row>
    <row r="40" spans="1:5" x14ac:dyDescent="0.25">
      <c r="B40" s="14" t="s">
        <v>77</v>
      </c>
      <c r="C40" s="14" t="s">
        <v>14</v>
      </c>
      <c r="D40" s="14"/>
      <c r="E40" s="14"/>
    </row>
    <row r="42" spans="1:5" ht="15.75" thickBot="1" x14ac:dyDescent="0.3"/>
    <row r="43" spans="1:5" ht="15.75" thickBot="1" x14ac:dyDescent="0.3">
      <c r="A43" s="41" t="s">
        <v>34</v>
      </c>
      <c r="B43" s="39" t="s">
        <v>45</v>
      </c>
    </row>
    <row r="45" spans="1:5" x14ac:dyDescent="0.25">
      <c r="B45" s="70" t="s">
        <v>0</v>
      </c>
      <c r="C45" s="70"/>
      <c r="D45" s="70"/>
      <c r="E45" s="18"/>
    </row>
    <row r="46" spans="1:5" x14ac:dyDescent="0.25">
      <c r="B46" s="70"/>
      <c r="C46" s="70"/>
      <c r="D46" s="70"/>
      <c r="E46" s="18"/>
    </row>
    <row r="47" spans="1:5" ht="15.75" x14ac:dyDescent="0.25">
      <c r="B47" s="17" t="s">
        <v>1</v>
      </c>
      <c r="C47" s="17" t="s">
        <v>45</v>
      </c>
      <c r="D47" s="71" t="s">
        <v>9</v>
      </c>
      <c r="E47" s="72" t="s">
        <v>11</v>
      </c>
    </row>
    <row r="48" spans="1:5" ht="15.75" x14ac:dyDescent="0.25">
      <c r="B48" s="17" t="s">
        <v>2</v>
      </c>
      <c r="C48" s="17" t="s">
        <v>8</v>
      </c>
      <c r="D48" s="71"/>
      <c r="E48" s="72"/>
    </row>
    <row r="49" spans="1:5" x14ac:dyDescent="0.25">
      <c r="B49" s="18" t="s">
        <v>47</v>
      </c>
      <c r="C49" s="18" t="s">
        <v>10</v>
      </c>
      <c r="D49" s="18" t="s">
        <v>12</v>
      </c>
      <c r="E49" s="18"/>
    </row>
    <row r="50" spans="1:5" x14ac:dyDescent="0.25">
      <c r="B50" s="19" t="s">
        <v>46</v>
      </c>
      <c r="C50" s="18" t="s">
        <v>10</v>
      </c>
      <c r="D50" s="18" t="s">
        <v>13</v>
      </c>
      <c r="E50" s="18" t="s">
        <v>48</v>
      </c>
    </row>
    <row r="51" spans="1:5" x14ac:dyDescent="0.25">
      <c r="B51" s="18" t="s">
        <v>7</v>
      </c>
      <c r="C51" s="18" t="s">
        <v>10</v>
      </c>
      <c r="D51" s="18" t="s">
        <v>13</v>
      </c>
      <c r="E51" s="18" t="s">
        <v>43</v>
      </c>
    </row>
    <row r="52" spans="1:5" x14ac:dyDescent="0.25">
      <c r="B52" s="18" t="s">
        <v>42</v>
      </c>
      <c r="C52" s="18" t="s">
        <v>10</v>
      </c>
      <c r="D52" s="18" t="s">
        <v>13</v>
      </c>
      <c r="E52" s="18" t="s">
        <v>44</v>
      </c>
    </row>
    <row r="53" spans="1:5" ht="15.75" thickBot="1" x14ac:dyDescent="0.3"/>
    <row r="54" spans="1:5" ht="15.75" thickBot="1" x14ac:dyDescent="0.3">
      <c r="B54" s="38" t="s">
        <v>85</v>
      </c>
    </row>
    <row r="55" spans="1:5" ht="15.75" thickBot="1" x14ac:dyDescent="0.3">
      <c r="A55" s="41" t="s">
        <v>35</v>
      </c>
    </row>
    <row r="56" spans="1:5" x14ac:dyDescent="0.25">
      <c r="B56" s="85" t="s">
        <v>0</v>
      </c>
      <c r="C56" s="85"/>
      <c r="D56" s="85"/>
      <c r="E56" s="14"/>
    </row>
    <row r="57" spans="1:5" x14ac:dyDescent="0.25">
      <c r="B57" s="85"/>
      <c r="C57" s="85"/>
      <c r="D57" s="85"/>
      <c r="E57" s="14"/>
    </row>
    <row r="58" spans="1:5" ht="15.75" x14ac:dyDescent="0.25">
      <c r="B58" s="13" t="s">
        <v>1</v>
      </c>
      <c r="C58" s="13" t="s">
        <v>85</v>
      </c>
      <c r="D58" s="68" t="s">
        <v>9</v>
      </c>
      <c r="E58" s="69" t="s">
        <v>11</v>
      </c>
    </row>
    <row r="59" spans="1:5" ht="15.75" x14ac:dyDescent="0.25">
      <c r="B59" s="13" t="s">
        <v>2</v>
      </c>
      <c r="C59" s="13" t="s">
        <v>8</v>
      </c>
      <c r="D59" s="68"/>
      <c r="E59" s="69"/>
    </row>
    <row r="60" spans="1:5" x14ac:dyDescent="0.25">
      <c r="B60" s="14" t="s">
        <v>3</v>
      </c>
      <c r="C60" s="14" t="s">
        <v>10</v>
      </c>
      <c r="D60" s="14" t="s">
        <v>12</v>
      </c>
      <c r="E60" s="14"/>
    </row>
    <row r="61" spans="1:5" x14ac:dyDescent="0.25">
      <c r="B61" s="14" t="s">
        <v>6</v>
      </c>
      <c r="C61" s="14" t="s">
        <v>14</v>
      </c>
      <c r="D61" s="14"/>
      <c r="E61" s="14"/>
    </row>
  </sheetData>
  <mergeCells count="16">
    <mergeCell ref="B2:H5"/>
    <mergeCell ref="B10:D11"/>
    <mergeCell ref="D12:D13"/>
    <mergeCell ref="E12:E13"/>
    <mergeCell ref="B56:D57"/>
    <mergeCell ref="B35:D36"/>
    <mergeCell ref="D37:D38"/>
    <mergeCell ref="E37:E38"/>
    <mergeCell ref="B25:D26"/>
    <mergeCell ref="D27:D28"/>
    <mergeCell ref="E27:E28"/>
    <mergeCell ref="D58:D59"/>
    <mergeCell ref="E58:E59"/>
    <mergeCell ref="B45:D46"/>
    <mergeCell ref="D47:D48"/>
    <mergeCell ref="E47:E4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25"/>
  <sheetViews>
    <sheetView showGridLines="0" topLeftCell="A4" zoomScale="85" zoomScaleNormal="85" workbookViewId="0">
      <selection activeCell="B19" sqref="B19"/>
    </sheetView>
  </sheetViews>
  <sheetFormatPr defaultRowHeight="15" x14ac:dyDescent="0.25"/>
  <cols>
    <col min="2" max="2" width="39.42578125" customWidth="1"/>
    <col min="4" max="4" width="14" customWidth="1"/>
    <col min="5" max="5" width="16.85546875" bestFit="1" customWidth="1"/>
    <col min="6" max="6" width="11.28515625" bestFit="1" customWidth="1"/>
    <col min="7" max="7" width="12.85546875" bestFit="1" customWidth="1"/>
    <col min="8" max="8" width="11.28515625" bestFit="1" customWidth="1"/>
    <col min="9" max="9" width="16.42578125" bestFit="1" customWidth="1"/>
    <col min="10" max="10" width="16" bestFit="1" customWidth="1"/>
    <col min="13" max="13" width="16" bestFit="1" customWidth="1"/>
    <col min="14" max="14" width="11.28515625" bestFit="1" customWidth="1"/>
  </cols>
  <sheetData>
    <row r="1" spans="1:14" ht="15.75" thickBot="1" x14ac:dyDescent="0.3"/>
    <row r="2" spans="1:14" ht="15" customHeight="1" x14ac:dyDescent="0.25">
      <c r="A2" s="86" t="s">
        <v>187</v>
      </c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4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0"/>
      <c r="K3" s="91"/>
    </row>
    <row r="4" spans="1:14" ht="15.75" customHeight="1" thickBot="1" x14ac:dyDescent="0.3">
      <c r="A4" s="92"/>
      <c r="B4" s="93"/>
      <c r="C4" s="93"/>
      <c r="D4" s="93"/>
      <c r="E4" s="93"/>
      <c r="F4" s="93"/>
      <c r="G4" s="93"/>
      <c r="H4" s="93"/>
      <c r="I4" s="93"/>
      <c r="J4" s="93"/>
      <c r="K4" s="94"/>
    </row>
    <row r="5" spans="1:14" ht="15.75" thickBot="1" x14ac:dyDescent="0.3"/>
    <row r="6" spans="1:14" ht="15.75" thickBot="1" x14ac:dyDescent="0.3">
      <c r="I6" s="95" t="s">
        <v>33</v>
      </c>
      <c r="J6" s="96"/>
    </row>
    <row r="7" spans="1:14" ht="15.75" thickBot="1" x14ac:dyDescent="0.3">
      <c r="A7" t="s">
        <v>30</v>
      </c>
      <c r="B7" s="106" t="s">
        <v>194</v>
      </c>
      <c r="E7" s="3" t="s">
        <v>53</v>
      </c>
      <c r="F7" s="3" t="s">
        <v>19</v>
      </c>
      <c r="G7" s="5" t="s">
        <v>50</v>
      </c>
      <c r="I7" s="44" t="s">
        <v>41</v>
      </c>
      <c r="J7" s="45" t="s">
        <v>91</v>
      </c>
    </row>
    <row r="8" spans="1:14" ht="15.75" thickBot="1" x14ac:dyDescent="0.3">
      <c r="E8" s="2" t="s">
        <v>56</v>
      </c>
      <c r="F8" s="2">
        <v>5000</v>
      </c>
      <c r="G8" s="6" t="s">
        <v>66</v>
      </c>
      <c r="I8" s="46" t="s">
        <v>66</v>
      </c>
      <c r="J8" s="47" t="s">
        <v>81</v>
      </c>
      <c r="L8" s="95" t="s">
        <v>216</v>
      </c>
      <c r="M8" s="97"/>
      <c r="N8" s="96"/>
    </row>
    <row r="9" spans="1:14" x14ac:dyDescent="0.25">
      <c r="A9" t="s">
        <v>31</v>
      </c>
      <c r="B9" s="106" t="s">
        <v>79</v>
      </c>
      <c r="C9" s="107"/>
      <c r="E9" s="2" t="s">
        <v>57</v>
      </c>
      <c r="F9" s="2">
        <v>7000</v>
      </c>
      <c r="G9" s="6" t="s">
        <v>67</v>
      </c>
      <c r="I9" s="46" t="s">
        <v>70</v>
      </c>
      <c r="J9" s="47" t="s">
        <v>82</v>
      </c>
      <c r="L9" s="37" t="s">
        <v>3</v>
      </c>
      <c r="M9" s="37" t="s">
        <v>77</v>
      </c>
      <c r="N9" s="37" t="s">
        <v>50</v>
      </c>
    </row>
    <row r="10" spans="1:14" ht="15.75" thickBot="1" x14ac:dyDescent="0.3">
      <c r="E10" s="2" t="s">
        <v>58</v>
      </c>
      <c r="F10" s="2">
        <v>8000</v>
      </c>
      <c r="G10" s="6" t="s">
        <v>68</v>
      </c>
      <c r="I10" s="48" t="s">
        <v>80</v>
      </c>
      <c r="J10" s="49" t="s">
        <v>83</v>
      </c>
      <c r="L10" s="2">
        <v>1</v>
      </c>
      <c r="M10" s="2" t="s">
        <v>81</v>
      </c>
      <c r="N10" s="2" t="s">
        <v>134</v>
      </c>
    </row>
    <row r="11" spans="1:14" x14ac:dyDescent="0.25">
      <c r="A11" t="s">
        <v>32</v>
      </c>
      <c r="B11" s="106" t="s">
        <v>78</v>
      </c>
      <c r="E11" s="2" t="s">
        <v>59</v>
      </c>
      <c r="F11" s="2">
        <v>5000</v>
      </c>
      <c r="G11" s="6" t="s">
        <v>69</v>
      </c>
      <c r="L11" s="2">
        <v>2</v>
      </c>
      <c r="M11" s="2" t="s">
        <v>70</v>
      </c>
      <c r="N11" s="2" t="s">
        <v>70</v>
      </c>
    </row>
    <row r="12" spans="1:14" x14ac:dyDescent="0.25">
      <c r="E12" s="2" t="s">
        <v>54</v>
      </c>
      <c r="F12" s="2">
        <v>7000</v>
      </c>
      <c r="G12" s="6" t="s">
        <v>70</v>
      </c>
      <c r="L12" s="2">
        <v>3</v>
      </c>
      <c r="M12" s="2" t="s">
        <v>80</v>
      </c>
      <c r="N12" s="2" t="s">
        <v>80</v>
      </c>
    </row>
    <row r="13" spans="1:14" x14ac:dyDescent="0.25">
      <c r="A13" t="s">
        <v>33</v>
      </c>
      <c r="B13" s="106" t="s">
        <v>84</v>
      </c>
      <c r="C13" s="107"/>
      <c r="E13" s="2" t="s">
        <v>55</v>
      </c>
      <c r="F13" s="2">
        <v>8000</v>
      </c>
      <c r="G13" s="6" t="s">
        <v>71</v>
      </c>
      <c r="I13" s="3" t="s">
        <v>6</v>
      </c>
      <c r="L13" s="2">
        <v>4</v>
      </c>
      <c r="M13" s="2" t="s">
        <v>135</v>
      </c>
      <c r="N13" s="2" t="s">
        <v>134</v>
      </c>
    </row>
    <row r="14" spans="1:14" x14ac:dyDescent="0.25">
      <c r="E14" s="2" t="s">
        <v>60</v>
      </c>
      <c r="F14" s="2">
        <v>5000</v>
      </c>
      <c r="G14" s="6" t="s">
        <v>72</v>
      </c>
      <c r="I14" s="2" t="s">
        <v>86</v>
      </c>
      <c r="L14" s="2">
        <v>5</v>
      </c>
      <c r="M14" s="2" t="s">
        <v>136</v>
      </c>
      <c r="N14" s="2" t="s">
        <v>134</v>
      </c>
    </row>
    <row r="15" spans="1:14" x14ac:dyDescent="0.25">
      <c r="A15" t="s">
        <v>34</v>
      </c>
      <c r="B15" s="106" t="s">
        <v>90</v>
      </c>
      <c r="C15" s="107"/>
      <c r="E15" s="2" t="s">
        <v>61</v>
      </c>
      <c r="F15" s="2">
        <v>7000</v>
      </c>
      <c r="I15" s="2" t="s">
        <v>87</v>
      </c>
      <c r="L15" s="2">
        <v>6</v>
      </c>
      <c r="M15" s="2" t="s">
        <v>137</v>
      </c>
      <c r="N15" s="2" t="s">
        <v>138</v>
      </c>
    </row>
    <row r="16" spans="1:14" x14ac:dyDescent="0.25">
      <c r="A16" t="s">
        <v>177</v>
      </c>
      <c r="E16" s="2" t="s">
        <v>62</v>
      </c>
      <c r="F16" s="2">
        <v>5000</v>
      </c>
      <c r="I16" s="2" t="s">
        <v>88</v>
      </c>
      <c r="L16" s="2">
        <v>7</v>
      </c>
      <c r="M16" s="2" t="s">
        <v>139</v>
      </c>
      <c r="N16" s="2" t="s">
        <v>140</v>
      </c>
    </row>
    <row r="17" spans="1:14" x14ac:dyDescent="0.25">
      <c r="A17" t="s">
        <v>35</v>
      </c>
      <c r="B17" s="106" t="s">
        <v>178</v>
      </c>
      <c r="C17" s="107"/>
      <c r="E17" s="2" t="s">
        <v>63</v>
      </c>
      <c r="F17" s="2">
        <v>8000</v>
      </c>
      <c r="L17" s="2">
        <v>8</v>
      </c>
      <c r="M17" s="2" t="s">
        <v>141</v>
      </c>
      <c r="N17" s="2" t="s">
        <v>70</v>
      </c>
    </row>
    <row r="18" spans="1:14" ht="15.75" thickBot="1" x14ac:dyDescent="0.3">
      <c r="E18" s="2" t="s">
        <v>64</v>
      </c>
      <c r="F18" s="2">
        <v>8000</v>
      </c>
      <c r="L18" s="2">
        <v>9</v>
      </c>
      <c r="M18" s="2" t="s">
        <v>142</v>
      </c>
      <c r="N18" s="2" t="s">
        <v>143</v>
      </c>
    </row>
    <row r="19" spans="1:14" ht="15.75" thickBot="1" x14ac:dyDescent="0.3">
      <c r="A19" t="s">
        <v>36</v>
      </c>
      <c r="B19" s="106" t="s">
        <v>92</v>
      </c>
      <c r="C19" s="107"/>
      <c r="D19" s="107"/>
      <c r="E19" s="2" t="s">
        <v>213</v>
      </c>
      <c r="F19" s="2">
        <v>7000</v>
      </c>
      <c r="I19" s="8" t="s">
        <v>111</v>
      </c>
      <c r="L19" s="2">
        <v>10</v>
      </c>
      <c r="M19" s="2" t="s">
        <v>144</v>
      </c>
      <c r="N19" s="2" t="s">
        <v>145</v>
      </c>
    </row>
    <row r="20" spans="1:14" x14ac:dyDescent="0.25">
      <c r="I20" s="7" t="s">
        <v>112</v>
      </c>
    </row>
    <row r="21" spans="1:14" x14ac:dyDescent="0.25">
      <c r="A21" t="s">
        <v>37</v>
      </c>
      <c r="B21" s="106" t="s">
        <v>214</v>
      </c>
      <c r="C21" s="107"/>
      <c r="D21" s="107"/>
      <c r="I21" s="2" t="s">
        <v>113</v>
      </c>
    </row>
    <row r="22" spans="1:14" x14ac:dyDescent="0.25">
      <c r="I22" s="2" t="s">
        <v>114</v>
      </c>
    </row>
    <row r="23" spans="1:14" x14ac:dyDescent="0.25">
      <c r="A23" t="s">
        <v>38</v>
      </c>
      <c r="B23" s="106" t="s">
        <v>212</v>
      </c>
      <c r="C23" s="107"/>
      <c r="D23" s="107"/>
      <c r="E23" s="107"/>
      <c r="F23" s="107"/>
    </row>
    <row r="25" spans="1:14" x14ac:dyDescent="0.25">
      <c r="A25" t="s">
        <v>39</v>
      </c>
      <c r="B25" s="106" t="s">
        <v>215</v>
      </c>
    </row>
  </sheetData>
  <mergeCells count="3">
    <mergeCell ref="A2:K4"/>
    <mergeCell ref="I6:J6"/>
    <mergeCell ref="L8:N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21E4-5F59-4AD5-8AC3-D4F812024223}">
  <dimension ref="C1:O12"/>
  <sheetViews>
    <sheetView showGridLines="0" topLeftCell="C1" zoomScale="85" zoomScaleNormal="85" workbookViewId="0">
      <selection activeCell="D14" sqref="D14"/>
    </sheetView>
  </sheetViews>
  <sheetFormatPr defaultRowHeight="15" x14ac:dyDescent="0.25"/>
  <sheetData>
    <row r="1" spans="3:15" ht="15.75" thickBot="1" x14ac:dyDescent="0.3"/>
    <row r="2" spans="3:15" x14ac:dyDescent="0.25">
      <c r="C2" s="86" t="s">
        <v>202</v>
      </c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3:15" x14ac:dyDescent="0.25">
      <c r="C3" s="89"/>
      <c r="D3" s="90"/>
      <c r="E3" s="90"/>
      <c r="F3" s="90"/>
      <c r="G3" s="90"/>
      <c r="H3" s="90"/>
      <c r="I3" s="90"/>
      <c r="J3" s="90"/>
      <c r="K3" s="90"/>
      <c r="L3" s="90"/>
      <c r="M3" s="91"/>
    </row>
    <row r="4" spans="3:15" ht="15.75" thickBot="1" x14ac:dyDescent="0.3">
      <c r="C4" s="92"/>
      <c r="D4" s="93"/>
      <c r="E4" s="93"/>
      <c r="F4" s="93"/>
      <c r="G4" s="93"/>
      <c r="H4" s="93"/>
      <c r="I4" s="93"/>
      <c r="J4" s="93"/>
      <c r="K4" s="93"/>
      <c r="L4" s="93"/>
      <c r="M4" s="94"/>
    </row>
    <row r="5" spans="3:15" ht="15.75" thickBot="1" x14ac:dyDescent="0.3">
      <c r="C5" s="10" t="s">
        <v>25</v>
      </c>
      <c r="D5" s="108" t="s">
        <v>203</v>
      </c>
      <c r="E5" s="109"/>
      <c r="F5" s="109"/>
      <c r="G5" s="109"/>
      <c r="H5" s="109"/>
      <c r="I5" s="109"/>
      <c r="J5" s="109"/>
      <c r="K5" s="109"/>
      <c r="L5" s="109"/>
      <c r="M5" s="110"/>
    </row>
    <row r="6" spans="3:15" ht="15.75" thickBot="1" x14ac:dyDescent="0.3">
      <c r="C6" s="10" t="s">
        <v>26</v>
      </c>
      <c r="D6" s="108" t="s">
        <v>204</v>
      </c>
      <c r="E6" s="109"/>
      <c r="F6" s="109"/>
      <c r="G6" s="109"/>
      <c r="H6" s="109"/>
      <c r="I6" s="109"/>
      <c r="J6" s="109"/>
      <c r="K6" s="109"/>
      <c r="L6" s="109"/>
      <c r="M6" s="110"/>
    </row>
    <row r="7" spans="3:15" ht="15.75" thickBot="1" x14ac:dyDescent="0.3">
      <c r="C7" s="10" t="s">
        <v>27</v>
      </c>
      <c r="D7" s="108" t="s">
        <v>206</v>
      </c>
      <c r="E7" s="109"/>
      <c r="F7" s="109"/>
      <c r="G7" s="109"/>
      <c r="H7" s="109"/>
      <c r="I7" s="109"/>
      <c r="J7" s="109"/>
      <c r="K7" s="109"/>
      <c r="L7" s="109"/>
      <c r="M7" s="110"/>
    </row>
    <row r="8" spans="3:15" ht="15.75" thickBot="1" x14ac:dyDescent="0.3">
      <c r="C8" s="10" t="s">
        <v>205</v>
      </c>
      <c r="D8" s="108" t="s">
        <v>209</v>
      </c>
      <c r="E8" s="109"/>
      <c r="F8" s="109"/>
      <c r="G8" s="109"/>
      <c r="H8" s="109"/>
      <c r="I8" s="109"/>
      <c r="J8" s="109"/>
      <c r="K8" s="109"/>
      <c r="L8" s="109"/>
      <c r="M8" s="110"/>
    </row>
    <row r="9" spans="3:15" ht="15.75" thickBot="1" x14ac:dyDescent="0.3">
      <c r="C9" s="10" t="s">
        <v>207</v>
      </c>
      <c r="D9" s="108" t="s">
        <v>210</v>
      </c>
      <c r="E9" s="109"/>
      <c r="F9" s="109"/>
      <c r="G9" s="109"/>
      <c r="H9" s="109"/>
      <c r="I9" s="109"/>
      <c r="J9" s="109"/>
      <c r="K9" s="109"/>
      <c r="L9" s="109"/>
      <c r="M9" s="110"/>
    </row>
    <row r="10" spans="3:15" ht="15.75" thickBot="1" x14ac:dyDescent="0.3">
      <c r="C10" s="10" t="s">
        <v>208</v>
      </c>
      <c r="D10" s="108" t="s">
        <v>211</v>
      </c>
      <c r="E10" s="109"/>
      <c r="F10" s="109"/>
      <c r="G10" s="109"/>
      <c r="H10" s="109"/>
      <c r="I10" s="109"/>
      <c r="J10" s="109"/>
      <c r="K10" s="109"/>
      <c r="L10" s="109"/>
      <c r="M10" s="110"/>
      <c r="O10" t="s">
        <v>46</v>
      </c>
    </row>
    <row r="11" spans="3:15" ht="15.75" thickBot="1" x14ac:dyDescent="0.3">
      <c r="C11" s="10"/>
      <c r="D11" s="62"/>
      <c r="E11" s="63"/>
      <c r="F11" s="63"/>
      <c r="G11" s="63"/>
      <c r="H11" s="63"/>
      <c r="I11" s="63"/>
      <c r="J11" s="63"/>
      <c r="K11" s="63"/>
      <c r="L11" s="63"/>
      <c r="M11" s="64"/>
      <c r="O11" t="s">
        <v>7</v>
      </c>
    </row>
    <row r="12" spans="3:15" ht="15.75" thickBot="1" x14ac:dyDescent="0.3">
      <c r="C12" s="10"/>
      <c r="D12" s="62"/>
      <c r="E12" s="63"/>
      <c r="F12" s="63"/>
      <c r="G12" s="63"/>
      <c r="H12" s="63"/>
      <c r="I12" s="63"/>
      <c r="J12" s="63"/>
      <c r="K12" s="63"/>
      <c r="L12" s="63"/>
      <c r="M12" s="64"/>
      <c r="O12" t="s">
        <v>42</v>
      </c>
    </row>
  </sheetData>
  <mergeCells count="9">
    <mergeCell ref="D12:M12"/>
    <mergeCell ref="D10:M10"/>
    <mergeCell ref="D11:M11"/>
    <mergeCell ref="C2:M4"/>
    <mergeCell ref="D5:M5"/>
    <mergeCell ref="D6:M6"/>
    <mergeCell ref="D7:M7"/>
    <mergeCell ref="D8:M8"/>
    <mergeCell ref="D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C23"/>
  <sheetViews>
    <sheetView showGridLines="0" topLeftCell="C1" zoomScale="85" zoomScaleNormal="85" workbookViewId="0">
      <selection activeCell="C26" sqref="C26"/>
    </sheetView>
  </sheetViews>
  <sheetFormatPr defaultRowHeight="15" x14ac:dyDescent="0.25"/>
  <cols>
    <col min="3" max="3" width="102.140625" bestFit="1" customWidth="1"/>
  </cols>
  <sheetData>
    <row r="1" spans="2:3" x14ac:dyDescent="0.25">
      <c r="B1" s="86" t="s">
        <v>185</v>
      </c>
      <c r="C1" s="88"/>
    </row>
    <row r="2" spans="2:3" x14ac:dyDescent="0.25">
      <c r="B2" s="89"/>
      <c r="C2" s="91"/>
    </row>
    <row r="3" spans="2:3" ht="15.75" thickBot="1" x14ac:dyDescent="0.3">
      <c r="B3" s="92"/>
      <c r="C3" s="94"/>
    </row>
    <row r="4" spans="2:3" ht="15.75" customHeight="1" x14ac:dyDescent="0.25">
      <c r="B4" s="3" t="s">
        <v>30</v>
      </c>
      <c r="C4" s="111" t="s">
        <v>236</v>
      </c>
    </row>
    <row r="5" spans="2:3" x14ac:dyDescent="0.25">
      <c r="B5" s="3" t="s">
        <v>31</v>
      </c>
      <c r="C5" s="111" t="s">
        <v>99</v>
      </c>
    </row>
    <row r="6" spans="2:3" x14ac:dyDescent="0.25">
      <c r="B6" s="3" t="s">
        <v>32</v>
      </c>
      <c r="C6" s="111" t="s">
        <v>234</v>
      </c>
    </row>
    <row r="7" spans="2:3" x14ac:dyDescent="0.25">
      <c r="B7" s="3" t="s">
        <v>33</v>
      </c>
      <c r="C7" s="111" t="s">
        <v>100</v>
      </c>
    </row>
    <row r="8" spans="2:3" x14ac:dyDescent="0.25">
      <c r="B8" s="3" t="s">
        <v>34</v>
      </c>
      <c r="C8" s="111" t="s">
        <v>101</v>
      </c>
    </row>
    <row r="9" spans="2:3" x14ac:dyDescent="0.25">
      <c r="B9" s="3" t="s">
        <v>35</v>
      </c>
      <c r="C9" s="111" t="s">
        <v>102</v>
      </c>
    </row>
    <row r="10" spans="2:3" x14ac:dyDescent="0.25">
      <c r="B10" s="3" t="s">
        <v>36</v>
      </c>
      <c r="C10" s="111" t="s">
        <v>103</v>
      </c>
    </row>
    <row r="11" spans="2:3" x14ac:dyDescent="0.25">
      <c r="B11" s="3" t="s">
        <v>37</v>
      </c>
      <c r="C11" s="111" t="s">
        <v>217</v>
      </c>
    </row>
    <row r="12" spans="2:3" x14ac:dyDescent="0.25">
      <c r="B12" s="3" t="s">
        <v>38</v>
      </c>
      <c r="C12" s="111" t="s">
        <v>104</v>
      </c>
    </row>
    <row r="13" spans="2:3" x14ac:dyDescent="0.25">
      <c r="B13" s="3" t="s">
        <v>39</v>
      </c>
      <c r="C13" s="111" t="s">
        <v>105</v>
      </c>
    </row>
    <row r="14" spans="2:3" x14ac:dyDescent="0.25">
      <c r="B14" s="3" t="s">
        <v>95</v>
      </c>
      <c r="C14" s="111" t="s">
        <v>106</v>
      </c>
    </row>
    <row r="15" spans="2:3" x14ac:dyDescent="0.25">
      <c r="B15" s="3" t="s">
        <v>97</v>
      </c>
      <c r="C15" s="111" t="s">
        <v>109</v>
      </c>
    </row>
    <row r="16" spans="2:3" x14ac:dyDescent="0.25">
      <c r="B16" s="3" t="s">
        <v>107</v>
      </c>
      <c r="C16" s="111" t="s">
        <v>110</v>
      </c>
    </row>
    <row r="17" spans="2:3" x14ac:dyDescent="0.25">
      <c r="B17" s="3" t="s">
        <v>108</v>
      </c>
      <c r="C17" s="111" t="s">
        <v>115</v>
      </c>
    </row>
    <row r="18" spans="2:3" x14ac:dyDescent="0.25">
      <c r="B18" s="3" t="s">
        <v>219</v>
      </c>
      <c r="C18" s="111" t="s">
        <v>218</v>
      </c>
    </row>
    <row r="19" spans="2:3" x14ac:dyDescent="0.25">
      <c r="B19" s="3" t="s">
        <v>221</v>
      </c>
      <c r="C19" s="111" t="s">
        <v>220</v>
      </c>
    </row>
    <row r="20" spans="2:3" x14ac:dyDescent="0.25">
      <c r="B20" s="3" t="s">
        <v>223</v>
      </c>
      <c r="C20" s="111" t="s">
        <v>224</v>
      </c>
    </row>
    <row r="21" spans="2:3" x14ac:dyDescent="0.25">
      <c r="B21" s="3" t="s">
        <v>222</v>
      </c>
      <c r="C21" s="111" t="s">
        <v>225</v>
      </c>
    </row>
    <row r="22" spans="2:3" x14ac:dyDescent="0.25">
      <c r="B22" s="3" t="s">
        <v>226</v>
      </c>
      <c r="C22" s="111" t="s">
        <v>227</v>
      </c>
    </row>
    <row r="23" spans="2:3" x14ac:dyDescent="0.25">
      <c r="B23" s="3" t="s">
        <v>228</v>
      </c>
      <c r="C23" s="111" t="s">
        <v>229</v>
      </c>
    </row>
  </sheetData>
  <mergeCells count="1">
    <mergeCell ref="B1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C14"/>
  <sheetViews>
    <sheetView showGridLines="0" topLeftCell="C1" zoomScale="90" zoomScaleNormal="90" workbookViewId="0">
      <selection activeCell="C19" sqref="C19"/>
    </sheetView>
  </sheetViews>
  <sheetFormatPr defaultRowHeight="15" x14ac:dyDescent="0.25"/>
  <cols>
    <col min="3" max="3" width="99.85546875" bestFit="1" customWidth="1"/>
  </cols>
  <sheetData>
    <row r="1" spans="2:3" ht="15.75" thickBot="1" x14ac:dyDescent="0.3"/>
    <row r="2" spans="2:3" x14ac:dyDescent="0.25">
      <c r="B2" s="86" t="s">
        <v>130</v>
      </c>
      <c r="C2" s="88"/>
    </row>
    <row r="3" spans="2:3" x14ac:dyDescent="0.25">
      <c r="B3" s="89"/>
      <c r="C3" s="91"/>
    </row>
    <row r="4" spans="2:3" ht="15.75" thickBot="1" x14ac:dyDescent="0.3">
      <c r="B4" s="92"/>
      <c r="C4" s="94"/>
    </row>
    <row r="5" spans="2:3" x14ac:dyDescent="0.25">
      <c r="B5" s="24" t="s">
        <v>30</v>
      </c>
      <c r="C5" s="112" t="s">
        <v>123</v>
      </c>
    </row>
    <row r="6" spans="2:3" x14ac:dyDescent="0.25">
      <c r="B6" s="25" t="s">
        <v>31</v>
      </c>
      <c r="C6" s="113" t="s">
        <v>124</v>
      </c>
    </row>
    <row r="7" spans="2:3" x14ac:dyDescent="0.25">
      <c r="B7" s="25" t="s">
        <v>32</v>
      </c>
      <c r="C7" s="113" t="s">
        <v>127</v>
      </c>
    </row>
    <row r="8" spans="2:3" x14ac:dyDescent="0.25">
      <c r="B8" s="25" t="s">
        <v>33</v>
      </c>
      <c r="C8" s="113" t="s">
        <v>128</v>
      </c>
    </row>
    <row r="9" spans="2:3" x14ac:dyDescent="0.25">
      <c r="B9" s="25" t="s">
        <v>34</v>
      </c>
      <c r="C9" s="113" t="s">
        <v>129</v>
      </c>
    </row>
    <row r="10" spans="2:3" s="107" customFormat="1" x14ac:dyDescent="0.25">
      <c r="B10" s="114" t="s">
        <v>35</v>
      </c>
      <c r="C10" s="113" t="s">
        <v>125</v>
      </c>
    </row>
    <row r="11" spans="2:3" x14ac:dyDescent="0.25">
      <c r="B11" s="25" t="s">
        <v>36</v>
      </c>
      <c r="C11" s="113" t="s">
        <v>132</v>
      </c>
    </row>
    <row r="12" spans="2:3" x14ac:dyDescent="0.25">
      <c r="B12" s="25" t="s">
        <v>37</v>
      </c>
      <c r="C12" s="113" t="s">
        <v>133</v>
      </c>
    </row>
    <row r="13" spans="2:3" x14ac:dyDescent="0.25">
      <c r="B13" s="25" t="s">
        <v>38</v>
      </c>
      <c r="C13" s="113" t="s">
        <v>126</v>
      </c>
    </row>
    <row r="14" spans="2:3" ht="15.75" thickBot="1" x14ac:dyDescent="0.3">
      <c r="B14" s="26" t="s">
        <v>39</v>
      </c>
      <c r="C14" s="115" t="s">
        <v>131</v>
      </c>
    </row>
  </sheetData>
  <mergeCells count="1">
    <mergeCell ref="B2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B1:C21"/>
  <sheetViews>
    <sheetView showGridLines="0" topLeftCell="C13" workbookViewId="0">
      <selection activeCell="C26" sqref="C26"/>
    </sheetView>
  </sheetViews>
  <sheetFormatPr defaultRowHeight="15" x14ac:dyDescent="0.25"/>
  <cols>
    <col min="3" max="3" width="101.85546875" bestFit="1" customWidth="1"/>
    <col min="6" max="6" width="15.7109375" customWidth="1"/>
  </cols>
  <sheetData>
    <row r="1" spans="2:3" x14ac:dyDescent="0.25">
      <c r="C1" s="4" t="s">
        <v>28</v>
      </c>
    </row>
    <row r="2" spans="2:3" x14ac:dyDescent="0.25">
      <c r="C2" s="4" t="s">
        <v>29</v>
      </c>
    </row>
    <row r="3" spans="2:3" x14ac:dyDescent="0.25">
      <c r="C3" s="4" t="s">
        <v>45</v>
      </c>
    </row>
    <row r="4" spans="2:3" x14ac:dyDescent="0.25">
      <c r="C4" s="4" t="s">
        <v>40</v>
      </c>
    </row>
    <row r="5" spans="2:3" x14ac:dyDescent="0.25">
      <c r="C5" s="4"/>
    </row>
    <row r="6" spans="2:3" ht="15.75" thickBot="1" x14ac:dyDescent="0.3">
      <c r="C6" s="4"/>
    </row>
    <row r="7" spans="2:3" x14ac:dyDescent="0.25">
      <c r="B7" s="98" t="s">
        <v>184</v>
      </c>
      <c r="C7" s="99"/>
    </row>
    <row r="8" spans="2:3" x14ac:dyDescent="0.25">
      <c r="B8" s="100"/>
      <c r="C8" s="101"/>
    </row>
    <row r="9" spans="2:3" ht="15.75" thickBot="1" x14ac:dyDescent="0.3">
      <c r="B9" s="102"/>
      <c r="C9" s="103"/>
    </row>
    <row r="10" spans="2:3" x14ac:dyDescent="0.25">
      <c r="B10" s="24" t="s">
        <v>30</v>
      </c>
      <c r="C10" s="112" t="s">
        <v>122</v>
      </c>
    </row>
    <row r="11" spans="2:3" x14ac:dyDescent="0.25">
      <c r="B11" s="25" t="s">
        <v>31</v>
      </c>
      <c r="C11" s="113" t="s">
        <v>93</v>
      </c>
    </row>
    <row r="12" spans="2:3" x14ac:dyDescent="0.25">
      <c r="B12" s="25" t="s">
        <v>32</v>
      </c>
      <c r="C12" s="113" t="s">
        <v>49</v>
      </c>
    </row>
    <row r="13" spans="2:3" x14ac:dyDescent="0.25">
      <c r="B13" s="25" t="s">
        <v>33</v>
      </c>
      <c r="C13" s="113" t="s">
        <v>51</v>
      </c>
    </row>
    <row r="14" spans="2:3" x14ac:dyDescent="0.25">
      <c r="B14" s="25" t="s">
        <v>34</v>
      </c>
      <c r="C14" s="113" t="s">
        <v>94</v>
      </c>
    </row>
    <row r="15" spans="2:3" x14ac:dyDescent="0.25">
      <c r="B15" s="25" t="s">
        <v>35</v>
      </c>
      <c r="C15" s="113" t="s">
        <v>52</v>
      </c>
    </row>
    <row r="16" spans="2:3" x14ac:dyDescent="0.25">
      <c r="B16" s="25" t="s">
        <v>36</v>
      </c>
      <c r="C16" s="113" t="s">
        <v>65</v>
      </c>
    </row>
    <row r="17" spans="2:3" x14ac:dyDescent="0.25">
      <c r="B17" s="25" t="s">
        <v>37</v>
      </c>
      <c r="C17" s="113" t="s">
        <v>73</v>
      </c>
    </row>
    <row r="18" spans="2:3" x14ac:dyDescent="0.25">
      <c r="B18" s="25" t="s">
        <v>38</v>
      </c>
      <c r="C18" s="113" t="s">
        <v>74</v>
      </c>
    </row>
    <row r="19" spans="2:3" x14ac:dyDescent="0.25">
      <c r="B19" s="25" t="s">
        <v>39</v>
      </c>
      <c r="C19" s="113" t="s">
        <v>75</v>
      </c>
    </row>
    <row r="20" spans="2:3" x14ac:dyDescent="0.25">
      <c r="B20" s="25" t="s">
        <v>95</v>
      </c>
      <c r="C20" s="113" t="s">
        <v>96</v>
      </c>
    </row>
    <row r="21" spans="2:3" ht="15.75" thickBot="1" x14ac:dyDescent="0.3">
      <c r="B21" s="26" t="s">
        <v>97</v>
      </c>
      <c r="C21" s="115" t="s">
        <v>98</v>
      </c>
    </row>
  </sheetData>
  <mergeCells count="1">
    <mergeCell ref="B7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G26"/>
  <sheetViews>
    <sheetView topLeftCell="B4" zoomScale="85" zoomScaleNormal="85" workbookViewId="0">
      <selection activeCell="B17" sqref="B17:C26"/>
    </sheetView>
  </sheetViews>
  <sheetFormatPr defaultRowHeight="15" x14ac:dyDescent="0.25"/>
  <cols>
    <col min="1" max="1" width="1.42578125" customWidth="1"/>
    <col min="3" max="3" width="81.5703125" customWidth="1"/>
    <col min="4" max="4" width="1.140625" customWidth="1"/>
    <col min="5" max="5" width="11.85546875" bestFit="1" customWidth="1"/>
    <col min="6" max="6" width="14.7109375" bestFit="1" customWidth="1"/>
  </cols>
  <sheetData>
    <row r="1" spans="2:7" x14ac:dyDescent="0.25">
      <c r="B1" s="86" t="s">
        <v>120</v>
      </c>
      <c r="C1" s="88"/>
      <c r="E1" s="4" t="s">
        <v>28</v>
      </c>
    </row>
    <row r="2" spans="2:7" x14ac:dyDescent="0.25">
      <c r="B2" s="89"/>
      <c r="C2" s="91"/>
      <c r="E2" s="4" t="s">
        <v>29</v>
      </c>
    </row>
    <row r="3" spans="2:7" ht="15.75" thickBot="1" x14ac:dyDescent="0.3">
      <c r="B3" s="92"/>
      <c r="C3" s="94"/>
      <c r="E3" s="4" t="s">
        <v>45</v>
      </c>
    </row>
    <row r="4" spans="2:7" x14ac:dyDescent="0.25">
      <c r="B4" s="3" t="s">
        <v>30</v>
      </c>
      <c r="C4" s="3" t="s">
        <v>117</v>
      </c>
      <c r="E4" s="4" t="s">
        <v>40</v>
      </c>
    </row>
    <row r="5" spans="2:7" x14ac:dyDescent="0.25">
      <c r="B5" s="3" t="s">
        <v>31</v>
      </c>
      <c r="C5" s="3" t="s">
        <v>116</v>
      </c>
      <c r="E5" s="3" t="s">
        <v>77</v>
      </c>
      <c r="F5" s="3" t="s">
        <v>50</v>
      </c>
      <c r="G5" s="3" t="s">
        <v>159</v>
      </c>
    </row>
    <row r="6" spans="2:7" x14ac:dyDescent="0.25">
      <c r="B6" s="3" t="s">
        <v>32</v>
      </c>
      <c r="C6" s="3" t="s">
        <v>118</v>
      </c>
      <c r="E6" s="2" t="s">
        <v>81</v>
      </c>
      <c r="F6" s="2" t="s">
        <v>160</v>
      </c>
      <c r="G6" s="2">
        <v>10</v>
      </c>
    </row>
    <row r="7" spans="2:7" x14ac:dyDescent="0.25">
      <c r="B7" s="3" t="s">
        <v>33</v>
      </c>
      <c r="C7" s="3" t="s">
        <v>119</v>
      </c>
      <c r="E7" s="2"/>
      <c r="F7" s="2" t="s">
        <v>161</v>
      </c>
      <c r="G7" s="2">
        <v>7</v>
      </c>
    </row>
    <row r="8" spans="2:7" x14ac:dyDescent="0.25">
      <c r="B8" s="3" t="s">
        <v>34</v>
      </c>
      <c r="C8" s="3" t="s">
        <v>173</v>
      </c>
      <c r="E8" s="2"/>
      <c r="F8" s="2" t="s">
        <v>66</v>
      </c>
      <c r="G8" s="2">
        <v>15</v>
      </c>
    </row>
    <row r="9" spans="2:7" x14ac:dyDescent="0.25">
      <c r="B9" s="3" t="s">
        <v>35</v>
      </c>
      <c r="C9" s="3" t="s">
        <v>157</v>
      </c>
      <c r="E9" s="2" t="s">
        <v>70</v>
      </c>
      <c r="F9" s="2" t="s">
        <v>70</v>
      </c>
      <c r="G9" s="2">
        <v>10</v>
      </c>
    </row>
    <row r="10" spans="2:7" x14ac:dyDescent="0.25">
      <c r="B10" s="3" t="s">
        <v>36</v>
      </c>
      <c r="C10" s="3" t="s">
        <v>158</v>
      </c>
      <c r="E10" s="2"/>
      <c r="F10" s="2" t="s">
        <v>161</v>
      </c>
      <c r="G10" s="2">
        <v>2</v>
      </c>
    </row>
    <row r="11" spans="2:7" x14ac:dyDescent="0.25">
      <c r="B11" s="3" t="s">
        <v>37</v>
      </c>
      <c r="C11" s="3" t="s">
        <v>169</v>
      </c>
      <c r="E11" s="2"/>
      <c r="F11" s="2" t="s">
        <v>66</v>
      </c>
      <c r="G11" s="2">
        <v>3</v>
      </c>
    </row>
    <row r="12" spans="2:7" x14ac:dyDescent="0.25">
      <c r="B12" s="3" t="s">
        <v>38</v>
      </c>
      <c r="C12" s="3" t="s">
        <v>170</v>
      </c>
    </row>
    <row r="13" spans="2:7" x14ac:dyDescent="0.25">
      <c r="B13" s="3" t="s">
        <v>39</v>
      </c>
      <c r="C13" s="3" t="s">
        <v>171</v>
      </c>
    </row>
    <row r="14" spans="2:7" x14ac:dyDescent="0.25">
      <c r="B14" s="3" t="s">
        <v>95</v>
      </c>
      <c r="C14" s="3" t="s">
        <v>172</v>
      </c>
    </row>
    <row r="15" spans="2:7" ht="30" x14ac:dyDescent="0.25">
      <c r="B15" s="3" t="s">
        <v>97</v>
      </c>
      <c r="C15" s="20" t="s">
        <v>175</v>
      </c>
    </row>
    <row r="16" spans="2:7" ht="5.25" customHeight="1" thickBot="1" x14ac:dyDescent="0.3">
      <c r="B16" s="4"/>
      <c r="C16" s="4"/>
    </row>
    <row r="17" spans="2:3" ht="15" customHeight="1" x14ac:dyDescent="0.25">
      <c r="B17" s="86" t="s">
        <v>121</v>
      </c>
      <c r="C17" s="88"/>
    </row>
    <row r="18" spans="2:3" ht="15" customHeight="1" x14ac:dyDescent="0.25">
      <c r="B18" s="89"/>
      <c r="C18" s="91"/>
    </row>
    <row r="19" spans="2:3" ht="15.75" customHeight="1" thickBot="1" x14ac:dyDescent="0.3">
      <c r="B19" s="92"/>
      <c r="C19" s="94"/>
    </row>
    <row r="20" spans="2:3" x14ac:dyDescent="0.25">
      <c r="B20" s="3" t="s">
        <v>30</v>
      </c>
      <c r="C20" s="3" t="s">
        <v>162</v>
      </c>
    </row>
    <row r="21" spans="2:3" x14ac:dyDescent="0.25">
      <c r="B21" s="3" t="s">
        <v>31</v>
      </c>
      <c r="C21" s="3" t="s">
        <v>163</v>
      </c>
    </row>
    <row r="22" spans="2:3" x14ac:dyDescent="0.25">
      <c r="B22" s="3" t="s">
        <v>32</v>
      </c>
      <c r="C22" s="3" t="s">
        <v>164</v>
      </c>
    </row>
    <row r="23" spans="2:3" x14ac:dyDescent="0.25">
      <c r="B23" s="3" t="s">
        <v>33</v>
      </c>
      <c r="C23" s="3" t="s">
        <v>165</v>
      </c>
    </row>
    <row r="24" spans="2:3" x14ac:dyDescent="0.25">
      <c r="B24" s="3" t="s">
        <v>34</v>
      </c>
      <c r="C24" s="3" t="s">
        <v>166</v>
      </c>
    </row>
    <row r="25" spans="2:3" x14ac:dyDescent="0.25">
      <c r="B25" s="3" t="s">
        <v>35</v>
      </c>
      <c r="C25" s="3" t="s">
        <v>167</v>
      </c>
    </row>
    <row r="26" spans="2:3" x14ac:dyDescent="0.25">
      <c r="B26" s="3" t="s">
        <v>36</v>
      </c>
      <c r="C26" s="3" t="s">
        <v>174</v>
      </c>
    </row>
  </sheetData>
  <mergeCells count="2">
    <mergeCell ref="B1:C3"/>
    <mergeCell ref="B17:C19"/>
  </mergeCells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20"/>
  <sheetViews>
    <sheetView tabSelected="1" topLeftCell="C1" workbookViewId="0">
      <selection activeCell="C18" sqref="C18:C20"/>
    </sheetView>
  </sheetViews>
  <sheetFormatPr defaultRowHeight="15" x14ac:dyDescent="0.25"/>
  <cols>
    <col min="2" max="2" width="16.140625" customWidth="1"/>
    <col min="3" max="3" width="114.7109375" bestFit="1" customWidth="1"/>
  </cols>
  <sheetData>
    <row r="1" spans="2:3" ht="15.75" thickBot="1" x14ac:dyDescent="0.3"/>
    <row r="2" spans="2:3" x14ac:dyDescent="0.25">
      <c r="B2" s="86" t="s">
        <v>179</v>
      </c>
      <c r="C2" s="88"/>
    </row>
    <row r="3" spans="2:3" x14ac:dyDescent="0.25">
      <c r="B3" s="89"/>
      <c r="C3" s="91"/>
    </row>
    <row r="4" spans="2:3" ht="15.75" thickBot="1" x14ac:dyDescent="0.3">
      <c r="B4" s="92"/>
      <c r="C4" s="94"/>
    </row>
    <row r="5" spans="2:3" x14ac:dyDescent="0.25">
      <c r="B5" s="30" t="s">
        <v>30</v>
      </c>
      <c r="C5" s="30" t="s">
        <v>181</v>
      </c>
    </row>
    <row r="6" spans="2:3" x14ac:dyDescent="0.25">
      <c r="B6" s="31" t="s">
        <v>31</v>
      </c>
      <c r="C6" s="31" t="s">
        <v>180</v>
      </c>
    </row>
    <row r="7" spans="2:3" ht="15.75" thickBot="1" x14ac:dyDescent="0.3">
      <c r="B7" s="32" t="s">
        <v>32</v>
      </c>
      <c r="C7" s="32" t="s">
        <v>182</v>
      </c>
    </row>
    <row r="8" spans="2:3" ht="15.75" thickBot="1" x14ac:dyDescent="0.3"/>
    <row r="9" spans="2:3" x14ac:dyDescent="0.25">
      <c r="B9" s="86" t="s">
        <v>230</v>
      </c>
      <c r="C9" s="88"/>
    </row>
    <row r="10" spans="2:3" ht="15" customHeight="1" thickBot="1" x14ac:dyDescent="0.3">
      <c r="B10" s="89"/>
      <c r="C10" s="91"/>
    </row>
    <row r="11" spans="2:3" ht="15" customHeight="1" thickBot="1" x14ac:dyDescent="0.3">
      <c r="B11" s="30" t="s">
        <v>30</v>
      </c>
      <c r="C11" s="30" t="s">
        <v>231</v>
      </c>
    </row>
    <row r="12" spans="2:3" ht="15.75" customHeight="1" thickBot="1" x14ac:dyDescent="0.3">
      <c r="B12" s="10" t="s">
        <v>31</v>
      </c>
      <c r="C12" s="10" t="s">
        <v>232</v>
      </c>
    </row>
    <row r="14" spans="2:3" ht="15.75" thickBot="1" x14ac:dyDescent="0.3"/>
    <row r="15" spans="2:3" x14ac:dyDescent="0.25">
      <c r="B15" s="86" t="s">
        <v>183</v>
      </c>
      <c r="C15" s="88"/>
    </row>
    <row r="16" spans="2:3" x14ac:dyDescent="0.25">
      <c r="B16" s="89"/>
      <c r="C16" s="91"/>
    </row>
    <row r="17" spans="2:3" ht="15.75" thickBot="1" x14ac:dyDescent="0.3">
      <c r="B17" s="92"/>
      <c r="C17" s="94"/>
    </row>
    <row r="18" spans="2:3" x14ac:dyDescent="0.25">
      <c r="B18" s="27" t="s">
        <v>30</v>
      </c>
      <c r="C18" s="28" t="s">
        <v>237</v>
      </c>
    </row>
    <row r="19" spans="2:3" x14ac:dyDescent="0.25">
      <c r="B19" s="28" t="s">
        <v>31</v>
      </c>
      <c r="C19" s="28"/>
    </row>
    <row r="20" spans="2:3" ht="15.75" thickBot="1" x14ac:dyDescent="0.3">
      <c r="B20" s="29" t="s">
        <v>32</v>
      </c>
      <c r="C20" s="29"/>
    </row>
  </sheetData>
  <mergeCells count="3">
    <mergeCell ref="B2:C4"/>
    <mergeCell ref="B15:C17"/>
    <mergeCell ref="B9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"/>
  <sheetViews>
    <sheetView workbookViewId="0">
      <selection activeCell="E7" sqref="E7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C9"/>
  <sheetViews>
    <sheetView zoomScale="130" zoomScaleNormal="130" workbookViewId="0">
      <selection activeCell="C14" sqref="C14"/>
    </sheetView>
  </sheetViews>
  <sheetFormatPr defaultRowHeight="15" x14ac:dyDescent="0.25"/>
  <cols>
    <col min="2" max="2" width="12.28515625" customWidth="1"/>
    <col min="3" max="3" width="84.85546875" customWidth="1"/>
  </cols>
  <sheetData>
    <row r="1" spans="2:3" ht="15.75" thickBot="1" x14ac:dyDescent="0.3"/>
    <row r="2" spans="2:3" x14ac:dyDescent="0.25">
      <c r="B2" s="86" t="s">
        <v>188</v>
      </c>
      <c r="C2" s="88"/>
    </row>
    <row r="3" spans="2:3" x14ac:dyDescent="0.25">
      <c r="B3" s="89"/>
      <c r="C3" s="91"/>
    </row>
    <row r="4" spans="2:3" ht="15.75" thickBot="1" x14ac:dyDescent="0.3">
      <c r="B4" s="89"/>
      <c r="C4" s="91"/>
    </row>
    <row r="5" spans="2:3" ht="15.75" thickBot="1" x14ac:dyDescent="0.3">
      <c r="B5" s="33" t="s">
        <v>30</v>
      </c>
      <c r="C5" s="34" t="s">
        <v>189</v>
      </c>
    </row>
    <row r="6" spans="2:3" ht="15.75" thickBot="1" x14ac:dyDescent="0.3">
      <c r="B6" s="33" t="s">
        <v>31</v>
      </c>
      <c r="C6" s="34" t="s">
        <v>190</v>
      </c>
    </row>
    <row r="7" spans="2:3" ht="15.75" thickBot="1" x14ac:dyDescent="0.3">
      <c r="B7" s="33" t="s">
        <v>32</v>
      </c>
      <c r="C7" s="34" t="s">
        <v>191</v>
      </c>
    </row>
    <row r="8" spans="2:3" ht="15.75" thickBot="1" x14ac:dyDescent="0.3">
      <c r="B8" s="33" t="s">
        <v>33</v>
      </c>
      <c r="C8" s="34" t="s">
        <v>192</v>
      </c>
    </row>
    <row r="9" spans="2:3" ht="15.75" thickBot="1" x14ac:dyDescent="0.3">
      <c r="B9" s="33" t="s">
        <v>34</v>
      </c>
      <c r="C9" s="34" t="s">
        <v>193</v>
      </c>
    </row>
  </sheetData>
  <mergeCells count="1">
    <mergeCell ref="B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Page</vt:lpstr>
      <vt:lpstr>DDL</vt:lpstr>
      <vt:lpstr>DML</vt:lpstr>
      <vt:lpstr>Constraint</vt:lpstr>
      <vt:lpstr>Query</vt:lpstr>
      <vt:lpstr>Sub Query</vt:lpstr>
      <vt:lpstr>Join</vt:lpstr>
      <vt:lpstr>Procedure&amp;View</vt:lpstr>
      <vt:lpstr>Transaction</vt:lpstr>
      <vt:lpstr>Index</vt:lpstr>
      <vt:lpstr>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2024-02-04T12:42:39Z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2023-06-03T10:07:38Z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7154e471-4a7c-46aa-a654-568ef301a8fc</vt:lpwstr>
  </property>
  <property fmtid="{D5CDD505-2E9C-101B-9397-08002B2CF9AE}" pid="7" name="MSIP_Label_defa4170-0d19-0005-0004-bc88714345d2_ActionId">
    <vt:lpwstr>5a410735-8784-4973-9e0e-532ae566799f</vt:lpwstr>
  </property>
  <property fmtid="{D5CDD505-2E9C-101B-9397-08002B2CF9AE}" pid="8" name="MSIP_Label_defa4170-0d19-0005-0004-bc88714345d2_ContentBits">
    <vt:lpwstr>0</vt:lpwstr>
  </property>
</Properties>
</file>